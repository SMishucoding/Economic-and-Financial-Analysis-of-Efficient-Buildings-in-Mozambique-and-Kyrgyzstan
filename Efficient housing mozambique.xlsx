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shu\Documents\Work permit UCSIS\final documents\Naima Farah Apu docs\Nick documents\Things to copy\Energy Efficient Building Electrification\"/>
    </mc:Choice>
  </mc:AlternateContent>
  <xr:revisionPtr revIDLastSave="0" documentId="8_{71CDC3BA-CA45-4198-916B-2BD15F14F15B}" xr6:coauthVersionLast="47" xr6:coauthVersionMax="47" xr10:uidLastSave="{00000000-0000-0000-0000-000000000000}"/>
  <bookViews>
    <workbookView xWindow="-120" yWindow="-120" windowWidth="29040" windowHeight="15720" firstSheet="3" activeTab="5" xr2:uid="{D0275268-32C2-481A-840B-3CB49A4B83E7}"/>
  </bookViews>
  <sheets>
    <sheet name="Summary" sheetId="1" r:id="rId1"/>
    <sheet name="prices and other data" sheetId="2" r:id="rId2"/>
    <sheet name="Cool   Reflective Roof Coating" sheetId="5" r:id="rId3"/>
    <sheet name="Ceiling Installation + Roof Ins" sheetId="9" r:id="rId4"/>
    <sheet name="Cross Ventilation Improvements" sheetId="3" r:id="rId5"/>
    <sheet name="External Shading (Awnings, Over" sheetId="4" r:id="rId6"/>
    <sheet name="Efficient Fans (DC or Energy-Ef" sheetId="6" r:id="rId7"/>
    <sheet name="Honey" sheetId="7" r:id="rId8"/>
    <sheet name="School kitchen gardening" sheetId="8" r:id="rId9"/>
    <sheet name="Additional financing total" sheetId="11" r:id="rId10"/>
    <sheet name="Peanut TF" sheetId="12" r:id="rId11"/>
    <sheet name="Cassava TF" sheetId="13" r:id="rId12"/>
    <sheet name="Cassava processing TF" sheetId="14" r:id="rId13"/>
    <sheet name="cattle breeding TF" sheetId="15" r:id="rId14"/>
    <sheet name="Poutry breeding TF" sheetId="16" r:id="rId15"/>
    <sheet name="Sensitivity analysis" sheetId="18" r:id="rId16"/>
    <sheet name="TF Total Financing" sheetId="19" r:id="rId17"/>
    <sheet name="GH" sheetId="20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2" i="5" l="1"/>
  <c r="D6" i="2"/>
  <c r="D5" i="2"/>
  <c r="G70" i="3"/>
  <c r="G30" i="3"/>
  <c r="L39" i="4"/>
  <c r="M39" i="4" s="1"/>
  <c r="N39" i="4" s="1"/>
  <c r="O39" i="4" s="1"/>
  <c r="P39" i="4" s="1"/>
  <c r="U39" i="4" s="1"/>
  <c r="K39" i="4"/>
  <c r="J39" i="4"/>
  <c r="I39" i="4"/>
  <c r="H39" i="4"/>
  <c r="G39" i="4"/>
  <c r="H40" i="4"/>
  <c r="F39" i="4"/>
  <c r="D39" i="4"/>
  <c r="E39" i="4"/>
  <c r="F17" i="4"/>
  <c r="D27" i="20"/>
  <c r="F37" i="8"/>
  <c r="I68" i="3"/>
  <c r="I44" i="3"/>
  <c r="E81" i="18"/>
  <c r="D80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C18" i="18"/>
  <c r="V11" i="18"/>
  <c r="C11" i="18"/>
  <c r="C48" i="18" s="1"/>
  <c r="Q8" i="18"/>
  <c r="P8" i="18"/>
  <c r="O8" i="18"/>
  <c r="N8" i="18"/>
  <c r="M8" i="18"/>
  <c r="L8" i="18"/>
  <c r="K8" i="18"/>
  <c r="J8" i="18"/>
  <c r="I8" i="18"/>
  <c r="H8" i="18"/>
  <c r="G8" i="18"/>
  <c r="F8" i="18"/>
  <c r="E8" i="18"/>
  <c r="D8" i="18"/>
  <c r="C8" i="18"/>
  <c r="Q7" i="18"/>
  <c r="P7" i="18"/>
  <c r="O7" i="18"/>
  <c r="N7" i="18"/>
  <c r="M7" i="18"/>
  <c r="L7" i="18"/>
  <c r="K7" i="18"/>
  <c r="J7" i="18"/>
  <c r="I7" i="18"/>
  <c r="H7" i="18"/>
  <c r="G7" i="18"/>
  <c r="F7" i="18"/>
  <c r="E7" i="18"/>
  <c r="D7" i="18"/>
  <c r="C7" i="18"/>
  <c r="S6" i="18"/>
  <c r="R6" i="18"/>
  <c r="Q6" i="18"/>
  <c r="P6" i="18"/>
  <c r="O6" i="18"/>
  <c r="N6" i="18"/>
  <c r="M6" i="18"/>
  <c r="L6" i="18"/>
  <c r="K6" i="18"/>
  <c r="J6" i="18"/>
  <c r="I6" i="18"/>
  <c r="H6" i="18"/>
  <c r="G6" i="18"/>
  <c r="F6" i="18"/>
  <c r="E6" i="18"/>
  <c r="D6" i="18"/>
  <c r="C6" i="18"/>
  <c r="Q5" i="18"/>
  <c r="P5" i="18"/>
  <c r="O5" i="18"/>
  <c r="N5" i="18"/>
  <c r="M5" i="18"/>
  <c r="L5" i="18"/>
  <c r="K5" i="18"/>
  <c r="J5" i="18"/>
  <c r="I5" i="18"/>
  <c r="H5" i="18"/>
  <c r="G5" i="18"/>
  <c r="F5" i="18"/>
  <c r="E5" i="18"/>
  <c r="D5" i="18"/>
  <c r="C5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D4" i="18"/>
  <c r="C4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3" i="18"/>
  <c r="C3" i="18"/>
  <c r="G18" i="1"/>
  <c r="G17" i="1"/>
  <c r="G16" i="1"/>
  <c r="G15" i="1"/>
  <c r="G14" i="1"/>
  <c r="G13" i="1"/>
  <c r="P9" i="1"/>
  <c r="P8" i="1"/>
  <c r="P5" i="1"/>
  <c r="G10" i="1"/>
  <c r="G9" i="1"/>
  <c r="G8" i="1"/>
  <c r="G4" i="1"/>
  <c r="F19" i="1"/>
  <c r="D19" i="1"/>
  <c r="C19" i="1"/>
  <c r="F18" i="1"/>
  <c r="F17" i="1"/>
  <c r="F16" i="1"/>
  <c r="F15" i="1"/>
  <c r="F14" i="1"/>
  <c r="F13" i="1"/>
  <c r="E18" i="1"/>
  <c r="E19" i="1" s="1"/>
  <c r="E17" i="1"/>
  <c r="E16" i="1"/>
  <c r="E15" i="1"/>
  <c r="E14" i="1"/>
  <c r="E13" i="1"/>
  <c r="D18" i="1"/>
  <c r="D17" i="1"/>
  <c r="D16" i="1"/>
  <c r="D15" i="1"/>
  <c r="D14" i="1"/>
  <c r="D13" i="1"/>
  <c r="C18" i="1"/>
  <c r="C17" i="1"/>
  <c r="C16" i="1"/>
  <c r="C15" i="1"/>
  <c r="C14" i="1"/>
  <c r="C13" i="1"/>
  <c r="B19" i="1"/>
  <c r="B18" i="1"/>
  <c r="B17" i="1"/>
  <c r="B16" i="1"/>
  <c r="B15" i="1"/>
  <c r="B14" i="1"/>
  <c r="B13" i="1"/>
  <c r="F32" i="19"/>
  <c r="E32" i="19"/>
  <c r="D32" i="19"/>
  <c r="G32" i="19"/>
  <c r="H32" i="19"/>
  <c r="I32" i="19"/>
  <c r="J32" i="19"/>
  <c r="K32" i="19"/>
  <c r="L32" i="19"/>
  <c r="M32" i="19"/>
  <c r="N32" i="19"/>
  <c r="O32" i="19"/>
  <c r="P32" i="19"/>
  <c r="Q32" i="19"/>
  <c r="C32" i="19"/>
  <c r="D31" i="19"/>
  <c r="E31" i="19"/>
  <c r="F31" i="19"/>
  <c r="G31" i="19"/>
  <c r="H31" i="19"/>
  <c r="I31" i="19"/>
  <c r="J31" i="19"/>
  <c r="K31" i="19"/>
  <c r="L31" i="19"/>
  <c r="M31" i="19"/>
  <c r="N31" i="19"/>
  <c r="O31" i="19"/>
  <c r="P31" i="19"/>
  <c r="Q31" i="19"/>
  <c r="C31" i="19"/>
  <c r="E30" i="19"/>
  <c r="F30" i="19"/>
  <c r="G30" i="19"/>
  <c r="H30" i="19"/>
  <c r="I30" i="19"/>
  <c r="J30" i="19"/>
  <c r="K30" i="19"/>
  <c r="L30" i="19"/>
  <c r="M30" i="19"/>
  <c r="N30" i="19"/>
  <c r="O30" i="19"/>
  <c r="P30" i="19"/>
  <c r="Q30" i="19"/>
  <c r="D30" i="19"/>
  <c r="C30" i="19"/>
  <c r="E29" i="19"/>
  <c r="F29" i="19"/>
  <c r="G29" i="19"/>
  <c r="H29" i="19"/>
  <c r="I29" i="19"/>
  <c r="J29" i="19"/>
  <c r="K29" i="19"/>
  <c r="L29" i="19"/>
  <c r="M29" i="19"/>
  <c r="N29" i="19"/>
  <c r="O29" i="19"/>
  <c r="P29" i="19"/>
  <c r="Q29" i="19"/>
  <c r="D29" i="19"/>
  <c r="C29" i="19"/>
  <c r="E28" i="19"/>
  <c r="F28" i="19"/>
  <c r="G28" i="19"/>
  <c r="H28" i="19"/>
  <c r="I28" i="19"/>
  <c r="J28" i="19"/>
  <c r="K28" i="19"/>
  <c r="L28" i="19"/>
  <c r="M28" i="19"/>
  <c r="N28" i="19"/>
  <c r="O28" i="19"/>
  <c r="P28" i="19"/>
  <c r="Q28" i="19"/>
  <c r="D28" i="19"/>
  <c r="C28" i="19"/>
  <c r="D27" i="19"/>
  <c r="E27" i="19"/>
  <c r="F27" i="19"/>
  <c r="G27" i="19"/>
  <c r="H27" i="19"/>
  <c r="I27" i="19"/>
  <c r="J27" i="19"/>
  <c r="K27" i="19"/>
  <c r="L27" i="19"/>
  <c r="M27" i="19"/>
  <c r="N27" i="19"/>
  <c r="O27" i="19"/>
  <c r="P27" i="19"/>
  <c r="Q27" i="19"/>
  <c r="C27" i="19"/>
  <c r="E8" i="19"/>
  <c r="F8" i="19"/>
  <c r="G8" i="19"/>
  <c r="H8" i="19"/>
  <c r="I8" i="19"/>
  <c r="J8" i="19"/>
  <c r="K8" i="19"/>
  <c r="L8" i="19"/>
  <c r="M8" i="19"/>
  <c r="N8" i="19"/>
  <c r="O8" i="19"/>
  <c r="P8" i="19"/>
  <c r="Q8" i="19"/>
  <c r="D8" i="19"/>
  <c r="C8" i="19"/>
  <c r="E7" i="19"/>
  <c r="F7" i="19"/>
  <c r="G7" i="19"/>
  <c r="H7" i="19"/>
  <c r="I7" i="19"/>
  <c r="J7" i="19"/>
  <c r="K7" i="19"/>
  <c r="L7" i="19"/>
  <c r="M7" i="19"/>
  <c r="N7" i="19"/>
  <c r="O7" i="19"/>
  <c r="P7" i="19"/>
  <c r="Q7" i="19"/>
  <c r="D7" i="19"/>
  <c r="C7" i="19"/>
  <c r="E6" i="19"/>
  <c r="F6" i="19"/>
  <c r="G6" i="19"/>
  <c r="H6" i="19"/>
  <c r="I6" i="19"/>
  <c r="J6" i="19"/>
  <c r="K6" i="19"/>
  <c r="L6" i="19"/>
  <c r="M6" i="19"/>
  <c r="N6" i="19"/>
  <c r="O6" i="19"/>
  <c r="P6" i="19"/>
  <c r="Q6" i="19"/>
  <c r="D6" i="19"/>
  <c r="C6" i="19"/>
  <c r="D5" i="19"/>
  <c r="E5" i="19"/>
  <c r="F5" i="19"/>
  <c r="G5" i="19"/>
  <c r="H5" i="19"/>
  <c r="I5" i="19"/>
  <c r="J5" i="19"/>
  <c r="K5" i="19"/>
  <c r="L5" i="19"/>
  <c r="M5" i="19"/>
  <c r="N5" i="19"/>
  <c r="O5" i="19"/>
  <c r="P5" i="19"/>
  <c r="Q5" i="19"/>
  <c r="C5" i="19"/>
  <c r="F4" i="19"/>
  <c r="G4" i="19"/>
  <c r="H4" i="19"/>
  <c r="I4" i="19"/>
  <c r="J4" i="19"/>
  <c r="K4" i="19"/>
  <c r="L4" i="19"/>
  <c r="M4" i="19"/>
  <c r="N4" i="19"/>
  <c r="O4" i="19"/>
  <c r="P4" i="19"/>
  <c r="Q4" i="19"/>
  <c r="E4" i="19"/>
  <c r="D4" i="19"/>
  <c r="C4" i="19"/>
  <c r="D3" i="19"/>
  <c r="E3" i="19"/>
  <c r="F3" i="19"/>
  <c r="G3" i="19"/>
  <c r="H3" i="19"/>
  <c r="I3" i="19"/>
  <c r="J3" i="19"/>
  <c r="K3" i="19"/>
  <c r="L3" i="19"/>
  <c r="M3" i="19"/>
  <c r="N3" i="19"/>
  <c r="O3" i="19"/>
  <c r="P3" i="19"/>
  <c r="Q3" i="19"/>
  <c r="C3" i="19"/>
  <c r="V11" i="19"/>
  <c r="C50" i="19"/>
  <c r="C18" i="19"/>
  <c r="C11" i="19"/>
  <c r="C35" i="19" s="1"/>
  <c r="S6" i="19"/>
  <c r="R6" i="19"/>
  <c r="F51" i="12"/>
  <c r="E45" i="12"/>
  <c r="K38" i="12"/>
  <c r="L38" i="12"/>
  <c r="M38" i="12"/>
  <c r="N38" i="12"/>
  <c r="O38" i="12"/>
  <c r="P38" i="12"/>
  <c r="Q38" i="12"/>
  <c r="R38" i="12"/>
  <c r="S38" i="12"/>
  <c r="T38" i="12"/>
  <c r="U38" i="12"/>
  <c r="J38" i="12"/>
  <c r="I38" i="12"/>
  <c r="H38" i="12"/>
  <c r="E38" i="12"/>
  <c r="D38" i="12"/>
  <c r="H4" i="12"/>
  <c r="I4" i="12"/>
  <c r="J4" i="12"/>
  <c r="K4" i="12"/>
  <c r="G60" i="12"/>
  <c r="H59" i="12"/>
  <c r="F59" i="12"/>
  <c r="F60" i="12" s="1"/>
  <c r="D59" i="12"/>
  <c r="D58" i="12"/>
  <c r="D57" i="12"/>
  <c r="D56" i="12"/>
  <c r="S55" i="12"/>
  <c r="T55" i="12" s="1"/>
  <c r="U55" i="12" s="1"/>
  <c r="K55" i="12"/>
  <c r="L55" i="12" s="1"/>
  <c r="M55" i="12" s="1"/>
  <c r="N55" i="12" s="1"/>
  <c r="O55" i="12" s="1"/>
  <c r="P55" i="12" s="1"/>
  <c r="Q55" i="12" s="1"/>
  <c r="R55" i="12" s="1"/>
  <c r="J55" i="12"/>
  <c r="I55" i="12"/>
  <c r="F55" i="12"/>
  <c r="H55" i="12" s="1"/>
  <c r="K54" i="12"/>
  <c r="L54" i="12" s="1"/>
  <c r="M54" i="12" s="1"/>
  <c r="N54" i="12" s="1"/>
  <c r="O54" i="12" s="1"/>
  <c r="P54" i="12" s="1"/>
  <c r="Q54" i="12" s="1"/>
  <c r="R54" i="12" s="1"/>
  <c r="S54" i="12" s="1"/>
  <c r="T54" i="12" s="1"/>
  <c r="U54" i="12" s="1"/>
  <c r="J54" i="12"/>
  <c r="I54" i="12"/>
  <c r="H54" i="12"/>
  <c r="G54" i="12"/>
  <c r="J53" i="12"/>
  <c r="K53" i="12" s="1"/>
  <c r="L53" i="12" s="1"/>
  <c r="M53" i="12" s="1"/>
  <c r="N53" i="12" s="1"/>
  <c r="O53" i="12" s="1"/>
  <c r="P53" i="12" s="1"/>
  <c r="Q53" i="12" s="1"/>
  <c r="R53" i="12" s="1"/>
  <c r="S53" i="12" s="1"/>
  <c r="T53" i="12" s="1"/>
  <c r="U53" i="12" s="1"/>
  <c r="I53" i="12"/>
  <c r="H53" i="12"/>
  <c r="F53" i="12"/>
  <c r="G53" i="12" s="1"/>
  <c r="G51" i="12"/>
  <c r="H51" i="12" s="1"/>
  <c r="I51" i="12" s="1"/>
  <c r="J51" i="12" s="1"/>
  <c r="K51" i="12" s="1"/>
  <c r="L51" i="12" s="1"/>
  <c r="M51" i="12" s="1"/>
  <c r="N51" i="12" s="1"/>
  <c r="O51" i="12" s="1"/>
  <c r="P51" i="12" s="1"/>
  <c r="Q51" i="12" s="1"/>
  <c r="R51" i="12" s="1"/>
  <c r="S51" i="12" s="1"/>
  <c r="T51" i="12" s="1"/>
  <c r="U51" i="12" s="1"/>
  <c r="F50" i="12"/>
  <c r="G50" i="12" s="1"/>
  <c r="E49" i="12"/>
  <c r="D49" i="12"/>
  <c r="F49" i="12" s="1"/>
  <c r="F48" i="12"/>
  <c r="E48" i="12"/>
  <c r="D48" i="12"/>
  <c r="U47" i="12"/>
  <c r="T47" i="12"/>
  <c r="S47" i="12"/>
  <c r="R47" i="12"/>
  <c r="Q47" i="12"/>
  <c r="P47" i="12"/>
  <c r="O47" i="12"/>
  <c r="N47" i="12"/>
  <c r="M47" i="12"/>
  <c r="L47" i="12"/>
  <c r="K47" i="12"/>
  <c r="J47" i="12"/>
  <c r="I47" i="12"/>
  <c r="H47" i="12"/>
  <c r="E47" i="12"/>
  <c r="D47" i="12"/>
  <c r="P45" i="12"/>
  <c r="D45" i="12"/>
  <c r="E44" i="12"/>
  <c r="D44" i="12"/>
  <c r="E43" i="12"/>
  <c r="D43" i="12"/>
  <c r="E42" i="12"/>
  <c r="D42" i="12"/>
  <c r="E41" i="12"/>
  <c r="D41" i="12"/>
  <c r="G39" i="12"/>
  <c r="H39" i="12" s="1"/>
  <c r="I39" i="12" s="1"/>
  <c r="J39" i="12" s="1"/>
  <c r="K39" i="12" s="1"/>
  <c r="L39" i="12" s="1"/>
  <c r="M39" i="12" s="1"/>
  <c r="N39" i="12" s="1"/>
  <c r="O39" i="12" s="1"/>
  <c r="P39" i="12" s="1"/>
  <c r="Q39" i="12" s="1"/>
  <c r="R39" i="12" s="1"/>
  <c r="S39" i="12" s="1"/>
  <c r="T39" i="12" s="1"/>
  <c r="U39" i="12" s="1"/>
  <c r="F39" i="12"/>
  <c r="F38" i="12"/>
  <c r="G38" i="12" s="1"/>
  <c r="G41" i="12" s="1"/>
  <c r="I37" i="12"/>
  <c r="J37" i="12" s="1"/>
  <c r="K37" i="12" s="1"/>
  <c r="L37" i="12" s="1"/>
  <c r="M37" i="12" s="1"/>
  <c r="N37" i="12" s="1"/>
  <c r="O37" i="12" s="1"/>
  <c r="P37" i="12" s="1"/>
  <c r="H37" i="12"/>
  <c r="G26" i="12"/>
  <c r="H25" i="12"/>
  <c r="I25" i="12" s="1"/>
  <c r="J25" i="12" s="1"/>
  <c r="K25" i="12" s="1"/>
  <c r="L25" i="12" s="1"/>
  <c r="M25" i="12" s="1"/>
  <c r="N25" i="12" s="1"/>
  <c r="O25" i="12" s="1"/>
  <c r="P25" i="12" s="1"/>
  <c r="Q25" i="12" s="1"/>
  <c r="R25" i="12" s="1"/>
  <c r="S25" i="12" s="1"/>
  <c r="T25" i="12" s="1"/>
  <c r="U25" i="12" s="1"/>
  <c r="G25" i="12"/>
  <c r="F25" i="12"/>
  <c r="E24" i="12"/>
  <c r="H24" i="12" s="1"/>
  <c r="H19" i="12"/>
  <c r="I19" i="12" s="1"/>
  <c r="J19" i="12" s="1"/>
  <c r="K19" i="12" s="1"/>
  <c r="L19" i="12" s="1"/>
  <c r="M19" i="12" s="1"/>
  <c r="N19" i="12" s="1"/>
  <c r="O19" i="12" s="1"/>
  <c r="P19" i="12" s="1"/>
  <c r="Q19" i="12" s="1"/>
  <c r="R19" i="12" s="1"/>
  <c r="S19" i="12" s="1"/>
  <c r="T19" i="12" s="1"/>
  <c r="U19" i="12" s="1"/>
  <c r="G19" i="12"/>
  <c r="G17" i="12"/>
  <c r="H17" i="12" s="1"/>
  <c r="I17" i="12" s="1"/>
  <c r="J17" i="12" s="1"/>
  <c r="K17" i="12" s="1"/>
  <c r="L17" i="12" s="1"/>
  <c r="M17" i="12" s="1"/>
  <c r="N17" i="12" s="1"/>
  <c r="O17" i="12" s="1"/>
  <c r="P17" i="12" s="1"/>
  <c r="Q17" i="12" s="1"/>
  <c r="R17" i="12" s="1"/>
  <c r="S17" i="12" s="1"/>
  <c r="T17" i="12" s="1"/>
  <c r="U17" i="12" s="1"/>
  <c r="F16" i="12"/>
  <c r="G16" i="12" s="1"/>
  <c r="H16" i="12" s="1"/>
  <c r="I16" i="12" s="1"/>
  <c r="J16" i="12" s="1"/>
  <c r="K16" i="12" s="1"/>
  <c r="L16" i="12" s="1"/>
  <c r="M16" i="12" s="1"/>
  <c r="N16" i="12" s="1"/>
  <c r="O16" i="12" s="1"/>
  <c r="P16" i="12" s="1"/>
  <c r="Q16" i="12" s="1"/>
  <c r="R16" i="12" s="1"/>
  <c r="S16" i="12" s="1"/>
  <c r="T16" i="12" s="1"/>
  <c r="U16" i="12" s="1"/>
  <c r="G15" i="12"/>
  <c r="H15" i="12" s="1"/>
  <c r="I15" i="12" s="1"/>
  <c r="J15" i="12" s="1"/>
  <c r="K15" i="12" s="1"/>
  <c r="L15" i="12" s="1"/>
  <c r="M15" i="12" s="1"/>
  <c r="N15" i="12" s="1"/>
  <c r="O15" i="12" s="1"/>
  <c r="P15" i="12" s="1"/>
  <c r="Q15" i="12" s="1"/>
  <c r="R15" i="12" s="1"/>
  <c r="S15" i="12" s="1"/>
  <c r="T15" i="12" s="1"/>
  <c r="U15" i="12" s="1"/>
  <c r="G14" i="12"/>
  <c r="F13" i="12"/>
  <c r="F12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0" i="12"/>
  <c r="G11" i="12" s="1"/>
  <c r="F10" i="12"/>
  <c r="F11" i="12" s="1"/>
  <c r="I6" i="12"/>
  <c r="H6" i="12"/>
  <c r="F6" i="12"/>
  <c r="I5" i="12"/>
  <c r="H5" i="12"/>
  <c r="J5" i="12" s="1"/>
  <c r="G5" i="12"/>
  <c r="G6" i="12"/>
  <c r="J3" i="12"/>
  <c r="K3" i="12" s="1"/>
  <c r="L3" i="12" s="1"/>
  <c r="M3" i="12" s="1"/>
  <c r="N3" i="12" s="1"/>
  <c r="O3" i="12" s="1"/>
  <c r="P3" i="12" s="1"/>
  <c r="I3" i="12"/>
  <c r="H3" i="12"/>
  <c r="G26" i="20"/>
  <c r="D26" i="20"/>
  <c r="F26" i="20"/>
  <c r="E26" i="20"/>
  <c r="D17" i="20"/>
  <c r="D9" i="20"/>
  <c r="F6" i="20"/>
  <c r="G6" i="20" s="1"/>
  <c r="F11" i="20"/>
  <c r="G11" i="20"/>
  <c r="F9" i="20"/>
  <c r="E9" i="20"/>
  <c r="D4" i="15"/>
  <c r="I5" i="16"/>
  <c r="H5" i="16"/>
  <c r="O39" i="14"/>
  <c r="N39" i="14"/>
  <c r="M39" i="14"/>
  <c r="L39" i="14"/>
  <c r="K39" i="14"/>
  <c r="L4" i="14"/>
  <c r="H4" i="14"/>
  <c r="I4" i="14"/>
  <c r="I39" i="14"/>
  <c r="J4" i="14"/>
  <c r="J39" i="14" s="1"/>
  <c r="K4" i="14"/>
  <c r="H9" i="18" l="1"/>
  <c r="I46" i="18"/>
  <c r="G9" i="18"/>
  <c r="I9" i="18"/>
  <c r="Q46" i="18"/>
  <c r="N9" i="18"/>
  <c r="P46" i="18"/>
  <c r="Q9" i="18"/>
  <c r="J46" i="18"/>
  <c r="E9" i="18"/>
  <c r="O9" i="18"/>
  <c r="M9" i="18"/>
  <c r="F9" i="18"/>
  <c r="P9" i="18"/>
  <c r="H46" i="18"/>
  <c r="C46" i="18"/>
  <c r="K9" i="18"/>
  <c r="D46" i="18"/>
  <c r="E46" i="18"/>
  <c r="F46" i="18"/>
  <c r="O46" i="18"/>
  <c r="J9" i="18"/>
  <c r="K46" i="18"/>
  <c r="L46" i="18"/>
  <c r="L9" i="18"/>
  <c r="G46" i="18"/>
  <c r="C9" i="18"/>
  <c r="D9" i="18"/>
  <c r="M46" i="18"/>
  <c r="N46" i="18"/>
  <c r="M9" i="19"/>
  <c r="O9" i="19"/>
  <c r="P9" i="19"/>
  <c r="F9" i="19"/>
  <c r="P7" i="1"/>
  <c r="P12" i="1"/>
  <c r="P10" i="1"/>
  <c r="P11" i="1"/>
  <c r="G33" i="19"/>
  <c r="O33" i="19"/>
  <c r="E9" i="19"/>
  <c r="Q9" i="19"/>
  <c r="I9" i="19"/>
  <c r="H9" i="19"/>
  <c r="D9" i="19"/>
  <c r="L9" i="19"/>
  <c r="N9" i="19"/>
  <c r="G9" i="19"/>
  <c r="J33" i="19"/>
  <c r="J9" i="19"/>
  <c r="C33" i="19"/>
  <c r="K33" i="19"/>
  <c r="I33" i="19"/>
  <c r="Q33" i="19"/>
  <c r="C9" i="19"/>
  <c r="K9" i="19"/>
  <c r="D33" i="19"/>
  <c r="L33" i="19"/>
  <c r="E33" i="19"/>
  <c r="M33" i="19"/>
  <c r="F33" i="19"/>
  <c r="N33" i="19"/>
  <c r="H33" i="19"/>
  <c r="P33" i="19"/>
  <c r="F24" i="12"/>
  <c r="F26" i="12" s="1"/>
  <c r="G45" i="12"/>
  <c r="G47" i="12" s="1"/>
  <c r="K5" i="12"/>
  <c r="L5" i="12" s="1"/>
  <c r="M5" i="12" s="1"/>
  <c r="N5" i="12" s="1"/>
  <c r="O5" i="12" s="1"/>
  <c r="P5" i="12" s="1"/>
  <c r="Q5" i="12" s="1"/>
  <c r="R5" i="12" s="1"/>
  <c r="S5" i="12" s="1"/>
  <c r="T5" i="12" s="1"/>
  <c r="U5" i="12" s="1"/>
  <c r="J6" i="12"/>
  <c r="H41" i="12"/>
  <c r="H50" i="12"/>
  <c r="I24" i="12"/>
  <c r="L4" i="12"/>
  <c r="K6" i="12"/>
  <c r="F21" i="12"/>
  <c r="F27" i="12" s="1"/>
  <c r="F52" i="12"/>
  <c r="F56" i="12" s="1"/>
  <c r="F45" i="12"/>
  <c r="F47" i="12" s="1"/>
  <c r="H26" i="12"/>
  <c r="I41" i="12"/>
  <c r="G21" i="12"/>
  <c r="G29" i="12" s="1"/>
  <c r="G30" i="12" s="1"/>
  <c r="H14" i="12"/>
  <c r="F41" i="12"/>
  <c r="I59" i="12"/>
  <c r="H60" i="12"/>
  <c r="G55" i="12"/>
  <c r="D13" i="20"/>
  <c r="G9" i="20"/>
  <c r="G13" i="20" s="1"/>
  <c r="G17" i="20" s="1"/>
  <c r="E13" i="20"/>
  <c r="H11" i="20"/>
  <c r="F13" i="20"/>
  <c r="H39" i="14"/>
  <c r="G27" i="12" l="1"/>
  <c r="I60" i="12"/>
  <c r="J59" i="12"/>
  <c r="I26" i="12"/>
  <c r="J24" i="12"/>
  <c r="F61" i="12"/>
  <c r="J41" i="12"/>
  <c r="I14" i="12"/>
  <c r="H21" i="12"/>
  <c r="H52" i="12"/>
  <c r="I52" i="12" s="1"/>
  <c r="J52" i="12" s="1"/>
  <c r="K52" i="12" s="1"/>
  <c r="L52" i="12" s="1"/>
  <c r="M52" i="12" s="1"/>
  <c r="N52" i="12" s="1"/>
  <c r="O52" i="12" s="1"/>
  <c r="P52" i="12" s="1"/>
  <c r="Q52" i="12" s="1"/>
  <c r="R52" i="12" s="1"/>
  <c r="S52" i="12" s="1"/>
  <c r="T52" i="12" s="1"/>
  <c r="U52" i="12" s="1"/>
  <c r="G52" i="12"/>
  <c r="G56" i="12" s="1"/>
  <c r="M4" i="12"/>
  <c r="L6" i="12"/>
  <c r="H56" i="12"/>
  <c r="H61" i="12" s="1"/>
  <c r="I50" i="12"/>
  <c r="H9" i="20"/>
  <c r="H13" i="20" s="1"/>
  <c r="H17" i="20" s="1"/>
  <c r="I26" i="20"/>
  <c r="J26" i="20" s="1"/>
  <c r="E17" i="20"/>
  <c r="H26" i="20"/>
  <c r="F17" i="20"/>
  <c r="I11" i="20"/>
  <c r="F61" i="14"/>
  <c r="H60" i="14"/>
  <c r="F60" i="14"/>
  <c r="D60" i="14"/>
  <c r="D59" i="14"/>
  <c r="D58" i="14"/>
  <c r="D57" i="14"/>
  <c r="K56" i="14"/>
  <c r="L56" i="14" s="1"/>
  <c r="M56" i="14" s="1"/>
  <c r="N56" i="14" s="1"/>
  <c r="O56" i="14" s="1"/>
  <c r="P56" i="14" s="1"/>
  <c r="Q56" i="14" s="1"/>
  <c r="R56" i="14" s="1"/>
  <c r="S56" i="14" s="1"/>
  <c r="T56" i="14" s="1"/>
  <c r="U56" i="14" s="1"/>
  <c r="G56" i="14"/>
  <c r="F56" i="14"/>
  <c r="J56" i="14" s="1"/>
  <c r="S55" i="14"/>
  <c r="T55" i="14" s="1"/>
  <c r="U55" i="14" s="1"/>
  <c r="K55" i="14"/>
  <c r="L55" i="14" s="1"/>
  <c r="M55" i="14" s="1"/>
  <c r="N55" i="14" s="1"/>
  <c r="O55" i="14" s="1"/>
  <c r="P55" i="14" s="1"/>
  <c r="Q55" i="14" s="1"/>
  <c r="R55" i="14" s="1"/>
  <c r="J55" i="14"/>
  <c r="I55" i="14"/>
  <c r="H55" i="14"/>
  <c r="G55" i="14"/>
  <c r="R54" i="14"/>
  <c r="S54" i="14" s="1"/>
  <c r="T54" i="14" s="1"/>
  <c r="U54" i="14" s="1"/>
  <c r="J54" i="14"/>
  <c r="K54" i="14" s="1"/>
  <c r="L54" i="14" s="1"/>
  <c r="M54" i="14" s="1"/>
  <c r="N54" i="14" s="1"/>
  <c r="O54" i="14" s="1"/>
  <c r="P54" i="14" s="1"/>
  <c r="Q54" i="14" s="1"/>
  <c r="F54" i="14"/>
  <c r="I54" i="14" s="1"/>
  <c r="E50" i="14"/>
  <c r="D50" i="14"/>
  <c r="F50" i="14" s="1"/>
  <c r="F49" i="14"/>
  <c r="E49" i="14"/>
  <c r="D49" i="14"/>
  <c r="T48" i="14"/>
  <c r="S48" i="14"/>
  <c r="Q48" i="14"/>
  <c r="N48" i="14"/>
  <c r="M48" i="14"/>
  <c r="K48" i="14"/>
  <c r="J48" i="14"/>
  <c r="H48" i="14"/>
  <c r="E48" i="14"/>
  <c r="D48" i="14"/>
  <c r="P46" i="14"/>
  <c r="P48" i="14" s="1"/>
  <c r="E46" i="14"/>
  <c r="E45" i="14"/>
  <c r="D45" i="14"/>
  <c r="E44" i="14"/>
  <c r="D44" i="14"/>
  <c r="E43" i="14"/>
  <c r="D43" i="14"/>
  <c r="E42" i="14"/>
  <c r="D42" i="14"/>
  <c r="S41" i="14"/>
  <c r="R41" i="14"/>
  <c r="Q41" i="14"/>
  <c r="N41" i="14"/>
  <c r="M41" i="14"/>
  <c r="L41" i="14"/>
  <c r="K41" i="14"/>
  <c r="P41" i="14" s="1"/>
  <c r="U41" i="14" s="1"/>
  <c r="J41" i="14"/>
  <c r="O41" i="14" s="1"/>
  <c r="T41" i="14" s="1"/>
  <c r="F40" i="14"/>
  <c r="G40" i="14" s="1"/>
  <c r="E40" i="14"/>
  <c r="J40" i="14" s="1"/>
  <c r="F39" i="14"/>
  <c r="E39" i="14"/>
  <c r="D39" i="14"/>
  <c r="H38" i="14"/>
  <c r="I38" i="14" s="1"/>
  <c r="J38" i="14" s="1"/>
  <c r="K38" i="14" s="1"/>
  <c r="L38" i="14" s="1"/>
  <c r="M38" i="14" s="1"/>
  <c r="N38" i="14" s="1"/>
  <c r="O38" i="14" s="1"/>
  <c r="P38" i="14" s="1"/>
  <c r="G27" i="14"/>
  <c r="E26" i="14"/>
  <c r="H26" i="14" s="1"/>
  <c r="J21" i="14"/>
  <c r="K21" i="14" s="1"/>
  <c r="L21" i="14" s="1"/>
  <c r="M21" i="14" s="1"/>
  <c r="N21" i="14" s="1"/>
  <c r="O21" i="14" s="1"/>
  <c r="P21" i="14" s="1"/>
  <c r="Q21" i="14" s="1"/>
  <c r="R21" i="14" s="1"/>
  <c r="S21" i="14" s="1"/>
  <c r="T21" i="14" s="1"/>
  <c r="U21" i="14" s="1"/>
  <c r="G21" i="14"/>
  <c r="H21" i="14" s="1"/>
  <c r="I21" i="14" s="1"/>
  <c r="G20" i="14"/>
  <c r="H20" i="14" s="1"/>
  <c r="I20" i="14" s="1"/>
  <c r="J20" i="14" s="1"/>
  <c r="K20" i="14" s="1"/>
  <c r="L20" i="14" s="1"/>
  <c r="M20" i="14" s="1"/>
  <c r="N20" i="14" s="1"/>
  <c r="O20" i="14" s="1"/>
  <c r="P20" i="14" s="1"/>
  <c r="Q20" i="14" s="1"/>
  <c r="R20" i="14" s="1"/>
  <c r="S20" i="14" s="1"/>
  <c r="T20" i="14" s="1"/>
  <c r="U20" i="14" s="1"/>
  <c r="L19" i="14"/>
  <c r="M19" i="14" s="1"/>
  <c r="N19" i="14" s="1"/>
  <c r="O19" i="14" s="1"/>
  <c r="P19" i="14" s="1"/>
  <c r="Q19" i="14" s="1"/>
  <c r="R19" i="14" s="1"/>
  <c r="S19" i="14" s="1"/>
  <c r="T19" i="14" s="1"/>
  <c r="U19" i="14" s="1"/>
  <c r="K19" i="14"/>
  <c r="G19" i="14"/>
  <c r="H19" i="14" s="1"/>
  <c r="I19" i="14" s="1"/>
  <c r="F17" i="14"/>
  <c r="F16" i="14"/>
  <c r="G16" i="14" s="1"/>
  <c r="F15" i="14"/>
  <c r="F14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G12" i="14"/>
  <c r="G46" i="14" s="1"/>
  <c r="G48" i="14" s="1"/>
  <c r="F12" i="14"/>
  <c r="F46" i="14" s="1"/>
  <c r="F48" i="14" s="1"/>
  <c r="F8" i="14"/>
  <c r="H7" i="14"/>
  <c r="J7" i="14" s="1"/>
  <c r="K7" i="14" s="1"/>
  <c r="L7" i="14" s="1"/>
  <c r="M7" i="14" s="1"/>
  <c r="N7" i="14" s="1"/>
  <c r="O7" i="14" s="1"/>
  <c r="P7" i="14" s="1"/>
  <c r="Q7" i="14" s="1"/>
  <c r="R7" i="14" s="1"/>
  <c r="S7" i="14" s="1"/>
  <c r="T7" i="14" s="1"/>
  <c r="U7" i="14" s="1"/>
  <c r="G7" i="14"/>
  <c r="I7" i="14" s="1"/>
  <c r="K6" i="14"/>
  <c r="L6" i="14" s="1"/>
  <c r="M6" i="14" s="1"/>
  <c r="N6" i="14" s="1"/>
  <c r="O6" i="14" s="1"/>
  <c r="P6" i="14" s="1"/>
  <c r="Q6" i="14" s="1"/>
  <c r="R6" i="14" s="1"/>
  <c r="S6" i="14" s="1"/>
  <c r="T6" i="14" s="1"/>
  <c r="U6" i="14" s="1"/>
  <c r="I5" i="14"/>
  <c r="J5" i="14" s="1"/>
  <c r="K5" i="14" s="1"/>
  <c r="L5" i="14" s="1"/>
  <c r="M5" i="14" s="1"/>
  <c r="N5" i="14" s="1"/>
  <c r="O5" i="14" s="1"/>
  <c r="P5" i="14" s="1"/>
  <c r="Q5" i="14" s="1"/>
  <c r="R5" i="14" s="1"/>
  <c r="S5" i="14" s="1"/>
  <c r="T5" i="14" s="1"/>
  <c r="U5" i="14" s="1"/>
  <c r="H5" i="14"/>
  <c r="H3" i="14"/>
  <c r="I3" i="14" s="1"/>
  <c r="J3" i="14" s="1"/>
  <c r="K3" i="14" s="1"/>
  <c r="L3" i="14" s="1"/>
  <c r="M3" i="14" s="1"/>
  <c r="N3" i="14" s="1"/>
  <c r="O3" i="14" s="1"/>
  <c r="P3" i="14" s="1"/>
  <c r="G62" i="13"/>
  <c r="D61" i="13"/>
  <c r="D60" i="13"/>
  <c r="D59" i="13"/>
  <c r="D58" i="13"/>
  <c r="E57" i="13"/>
  <c r="J57" i="13" s="1"/>
  <c r="K57" i="13" s="1"/>
  <c r="L57" i="13" s="1"/>
  <c r="M57" i="13" s="1"/>
  <c r="N57" i="13" s="1"/>
  <c r="O57" i="13" s="1"/>
  <c r="P57" i="13" s="1"/>
  <c r="Q57" i="13" s="1"/>
  <c r="R57" i="13" s="1"/>
  <c r="S57" i="13" s="1"/>
  <c r="T57" i="13" s="1"/>
  <c r="U57" i="13" s="1"/>
  <c r="D57" i="13"/>
  <c r="E56" i="13"/>
  <c r="D56" i="13"/>
  <c r="J56" i="13" s="1"/>
  <c r="K56" i="13" s="1"/>
  <c r="L56" i="13" s="1"/>
  <c r="M56" i="13" s="1"/>
  <c r="N56" i="13" s="1"/>
  <c r="O56" i="13" s="1"/>
  <c r="P56" i="13" s="1"/>
  <c r="Q56" i="13" s="1"/>
  <c r="R56" i="13" s="1"/>
  <c r="S56" i="13" s="1"/>
  <c r="T56" i="13" s="1"/>
  <c r="U56" i="13" s="1"/>
  <c r="E55" i="13"/>
  <c r="F55" i="13" s="1"/>
  <c r="D55" i="13"/>
  <c r="E54" i="13"/>
  <c r="D54" i="13"/>
  <c r="F54" i="13" s="1"/>
  <c r="E53" i="13"/>
  <c r="J53" i="13" s="1"/>
  <c r="K53" i="13" s="1"/>
  <c r="L53" i="13" s="1"/>
  <c r="M53" i="13" s="1"/>
  <c r="N53" i="13" s="1"/>
  <c r="O53" i="13" s="1"/>
  <c r="P53" i="13" s="1"/>
  <c r="Q53" i="13" s="1"/>
  <c r="R53" i="13" s="1"/>
  <c r="S53" i="13" s="1"/>
  <c r="T53" i="13" s="1"/>
  <c r="U53" i="13" s="1"/>
  <c r="D53" i="13"/>
  <c r="E52" i="13"/>
  <c r="F52" i="13" s="1"/>
  <c r="D52" i="13"/>
  <c r="F51" i="13"/>
  <c r="E51" i="13"/>
  <c r="D51" i="13"/>
  <c r="E50" i="13"/>
  <c r="F50" i="13" s="1"/>
  <c r="D50" i="13"/>
  <c r="U49" i="13"/>
  <c r="T49" i="13"/>
  <c r="S49" i="13"/>
  <c r="R49" i="13"/>
  <c r="Q49" i="13"/>
  <c r="O49" i="13"/>
  <c r="N49" i="13"/>
  <c r="M49" i="13"/>
  <c r="L49" i="13"/>
  <c r="K49" i="13"/>
  <c r="J49" i="13"/>
  <c r="I49" i="13"/>
  <c r="H49" i="13"/>
  <c r="E49" i="13"/>
  <c r="D49" i="13"/>
  <c r="G48" i="13"/>
  <c r="E48" i="13"/>
  <c r="D48" i="13"/>
  <c r="F48" i="13" s="1"/>
  <c r="P47" i="13"/>
  <c r="P49" i="13" s="1"/>
  <c r="F47" i="13"/>
  <c r="E47" i="13"/>
  <c r="D47" i="13"/>
  <c r="G47" i="13" s="1"/>
  <c r="G49" i="13" s="1"/>
  <c r="E46" i="13"/>
  <c r="D46" i="13"/>
  <c r="E45" i="13"/>
  <c r="D45" i="13"/>
  <c r="E44" i="13"/>
  <c r="D44" i="13"/>
  <c r="E43" i="13"/>
  <c r="D43" i="13"/>
  <c r="E42" i="13"/>
  <c r="F42" i="13" s="1"/>
  <c r="D42" i="13"/>
  <c r="H41" i="13"/>
  <c r="I41" i="13" s="1"/>
  <c r="J41" i="13" s="1"/>
  <c r="K41" i="13" s="1"/>
  <c r="L41" i="13" s="1"/>
  <c r="M41" i="13" s="1"/>
  <c r="N41" i="13" s="1"/>
  <c r="O41" i="13" s="1"/>
  <c r="P41" i="13" s="1"/>
  <c r="F24" i="13"/>
  <c r="F25" i="13" s="1"/>
  <c r="E24" i="13"/>
  <c r="E61" i="13" s="1"/>
  <c r="F61" i="13" s="1"/>
  <c r="F62" i="13" s="1"/>
  <c r="K20" i="13"/>
  <c r="L20" i="13" s="1"/>
  <c r="M20" i="13" s="1"/>
  <c r="N20" i="13" s="1"/>
  <c r="O20" i="13" s="1"/>
  <c r="P20" i="13" s="1"/>
  <c r="Q20" i="13" s="1"/>
  <c r="R20" i="13" s="1"/>
  <c r="S20" i="13" s="1"/>
  <c r="T20" i="13" s="1"/>
  <c r="U20" i="13" s="1"/>
  <c r="J20" i="13"/>
  <c r="H20" i="13"/>
  <c r="G20" i="13"/>
  <c r="F20" i="13"/>
  <c r="I20" i="13" s="1"/>
  <c r="U19" i="13"/>
  <c r="M19" i="13"/>
  <c r="N19" i="13" s="1"/>
  <c r="O19" i="13" s="1"/>
  <c r="P19" i="13" s="1"/>
  <c r="Q19" i="13" s="1"/>
  <c r="R19" i="13" s="1"/>
  <c r="S19" i="13" s="1"/>
  <c r="T19" i="13" s="1"/>
  <c r="G19" i="13"/>
  <c r="H19" i="13" s="1"/>
  <c r="I19" i="13" s="1"/>
  <c r="J19" i="13" s="1"/>
  <c r="K19" i="13" s="1"/>
  <c r="L19" i="13" s="1"/>
  <c r="F19" i="13"/>
  <c r="H18" i="13"/>
  <c r="I18" i="13" s="1"/>
  <c r="J18" i="13" s="1"/>
  <c r="K18" i="13" s="1"/>
  <c r="L18" i="13" s="1"/>
  <c r="M18" i="13" s="1"/>
  <c r="N18" i="13" s="1"/>
  <c r="O18" i="13" s="1"/>
  <c r="P18" i="13" s="1"/>
  <c r="Q18" i="13" s="1"/>
  <c r="R18" i="13" s="1"/>
  <c r="S18" i="13" s="1"/>
  <c r="T18" i="13" s="1"/>
  <c r="U18" i="13" s="1"/>
  <c r="G18" i="13"/>
  <c r="F18" i="13"/>
  <c r="K17" i="13"/>
  <c r="L17" i="13" s="1"/>
  <c r="M17" i="13" s="1"/>
  <c r="N17" i="13" s="1"/>
  <c r="O17" i="13" s="1"/>
  <c r="P17" i="13" s="1"/>
  <c r="Q17" i="13" s="1"/>
  <c r="R17" i="13" s="1"/>
  <c r="S17" i="13" s="1"/>
  <c r="T17" i="13" s="1"/>
  <c r="U17" i="13" s="1"/>
  <c r="J17" i="13"/>
  <c r="I17" i="13"/>
  <c r="H17" i="13"/>
  <c r="G17" i="13"/>
  <c r="F17" i="13"/>
  <c r="H16" i="13"/>
  <c r="I16" i="13" s="1"/>
  <c r="J16" i="13" s="1"/>
  <c r="K16" i="13" s="1"/>
  <c r="L16" i="13" s="1"/>
  <c r="M16" i="13" s="1"/>
  <c r="N16" i="13" s="1"/>
  <c r="O16" i="13" s="1"/>
  <c r="P16" i="13" s="1"/>
  <c r="Q16" i="13" s="1"/>
  <c r="R16" i="13" s="1"/>
  <c r="S16" i="13" s="1"/>
  <c r="T16" i="13" s="1"/>
  <c r="U16" i="13" s="1"/>
  <c r="G16" i="13"/>
  <c r="F16" i="13"/>
  <c r="G15" i="13"/>
  <c r="G21" i="13" s="1"/>
  <c r="F15" i="13"/>
  <c r="F21" i="13" s="1"/>
  <c r="F14" i="13"/>
  <c r="F13" i="13"/>
  <c r="U12" i="13"/>
  <c r="S12" i="13"/>
  <c r="R12" i="13"/>
  <c r="P12" i="13"/>
  <c r="N12" i="13"/>
  <c r="M12" i="13"/>
  <c r="K12" i="13"/>
  <c r="J12" i="13"/>
  <c r="I12" i="13"/>
  <c r="G11" i="13"/>
  <c r="F11" i="13"/>
  <c r="F12" i="13" s="1"/>
  <c r="P10" i="13"/>
  <c r="G10" i="13"/>
  <c r="L10" i="13" s="1"/>
  <c r="O10" i="13" s="1"/>
  <c r="T10" i="13" s="1"/>
  <c r="T12" i="13" s="1"/>
  <c r="F10" i="13"/>
  <c r="F4" i="13"/>
  <c r="J4" i="13" s="1"/>
  <c r="J6" i="13" s="1"/>
  <c r="P3" i="13"/>
  <c r="H3" i="13"/>
  <c r="I3" i="13" s="1"/>
  <c r="J3" i="13" s="1"/>
  <c r="K3" i="13" s="1"/>
  <c r="L3" i="13" s="1"/>
  <c r="M3" i="13" s="1"/>
  <c r="N3" i="13" s="1"/>
  <c r="O3" i="13" s="1"/>
  <c r="G59" i="15"/>
  <c r="H58" i="15"/>
  <c r="F58" i="15"/>
  <c r="F59" i="15" s="1"/>
  <c r="D58" i="15"/>
  <c r="D57" i="15"/>
  <c r="D56" i="15"/>
  <c r="D55" i="15"/>
  <c r="J54" i="15"/>
  <c r="K54" i="15" s="1"/>
  <c r="L54" i="15" s="1"/>
  <c r="M54" i="15" s="1"/>
  <c r="N54" i="15" s="1"/>
  <c r="O54" i="15" s="1"/>
  <c r="P54" i="15" s="1"/>
  <c r="Q54" i="15" s="1"/>
  <c r="R54" i="15" s="1"/>
  <c r="S54" i="15" s="1"/>
  <c r="T54" i="15" s="1"/>
  <c r="U54" i="15" s="1"/>
  <c r="I54" i="15"/>
  <c r="H54" i="15"/>
  <c r="F54" i="15"/>
  <c r="G54" i="15" s="1"/>
  <c r="E54" i="15"/>
  <c r="K53" i="15"/>
  <c r="L53" i="15" s="1"/>
  <c r="M53" i="15" s="1"/>
  <c r="N53" i="15" s="1"/>
  <c r="O53" i="15" s="1"/>
  <c r="P53" i="15" s="1"/>
  <c r="Q53" i="15" s="1"/>
  <c r="R53" i="15" s="1"/>
  <c r="S53" i="15" s="1"/>
  <c r="T53" i="15" s="1"/>
  <c r="U53" i="15" s="1"/>
  <c r="J53" i="15"/>
  <c r="I53" i="15"/>
  <c r="H53" i="15"/>
  <c r="G53" i="15"/>
  <c r="F53" i="15"/>
  <c r="E53" i="15"/>
  <c r="E52" i="15"/>
  <c r="F52" i="15" s="1"/>
  <c r="E51" i="15"/>
  <c r="F51" i="15" s="1"/>
  <c r="N50" i="15"/>
  <c r="O50" i="15" s="1"/>
  <c r="P50" i="15" s="1"/>
  <c r="Q50" i="15" s="1"/>
  <c r="R50" i="15" s="1"/>
  <c r="S50" i="15" s="1"/>
  <c r="T50" i="15" s="1"/>
  <c r="U50" i="15" s="1"/>
  <c r="F50" i="15"/>
  <c r="G50" i="15" s="1"/>
  <c r="E50" i="15"/>
  <c r="J50" i="15" s="1"/>
  <c r="K50" i="15" s="1"/>
  <c r="L50" i="15" s="1"/>
  <c r="M50" i="15" s="1"/>
  <c r="G49" i="15"/>
  <c r="H49" i="15" s="1"/>
  <c r="E49" i="15"/>
  <c r="F49" i="15" s="1"/>
  <c r="E48" i="15"/>
  <c r="F48" i="15" s="1"/>
  <c r="D48" i="15"/>
  <c r="E47" i="15"/>
  <c r="D47" i="15"/>
  <c r="F47" i="15" s="1"/>
  <c r="U46" i="15"/>
  <c r="T46" i="15"/>
  <c r="S46" i="15"/>
  <c r="R46" i="15"/>
  <c r="Q46" i="15"/>
  <c r="O46" i="15"/>
  <c r="N46" i="15"/>
  <c r="M46" i="15"/>
  <c r="L46" i="15"/>
  <c r="K46" i="15"/>
  <c r="J46" i="15"/>
  <c r="I46" i="15"/>
  <c r="H46" i="15"/>
  <c r="E46" i="15"/>
  <c r="D46" i="15"/>
  <c r="E45" i="15"/>
  <c r="G45" i="15" s="1"/>
  <c r="D45" i="15"/>
  <c r="P44" i="15"/>
  <c r="P46" i="15" s="1"/>
  <c r="E44" i="15"/>
  <c r="D44" i="15"/>
  <c r="E43" i="15"/>
  <c r="D43" i="15"/>
  <c r="E42" i="15"/>
  <c r="D42" i="15"/>
  <c r="E41" i="15"/>
  <c r="D41" i="15"/>
  <c r="E40" i="15"/>
  <c r="D40" i="15"/>
  <c r="E38" i="15"/>
  <c r="D38" i="15"/>
  <c r="E37" i="15"/>
  <c r="H36" i="15"/>
  <c r="I36" i="15" s="1"/>
  <c r="J36" i="15" s="1"/>
  <c r="K36" i="15" s="1"/>
  <c r="L36" i="15" s="1"/>
  <c r="M36" i="15" s="1"/>
  <c r="N36" i="15" s="1"/>
  <c r="O36" i="15" s="1"/>
  <c r="P36" i="15" s="1"/>
  <c r="E25" i="15"/>
  <c r="F25" i="15" s="1"/>
  <c r="J21" i="15"/>
  <c r="K21" i="15" s="1"/>
  <c r="L21" i="15" s="1"/>
  <c r="M21" i="15" s="1"/>
  <c r="N21" i="15" s="1"/>
  <c r="O21" i="15" s="1"/>
  <c r="P21" i="15" s="1"/>
  <c r="Q21" i="15" s="1"/>
  <c r="R21" i="15" s="1"/>
  <c r="S21" i="15" s="1"/>
  <c r="T21" i="15" s="1"/>
  <c r="U21" i="15" s="1"/>
  <c r="I21" i="15"/>
  <c r="H21" i="15"/>
  <c r="F21" i="15"/>
  <c r="G21" i="15" s="1"/>
  <c r="F20" i="15"/>
  <c r="G20" i="15" s="1"/>
  <c r="H20" i="15" s="1"/>
  <c r="I20" i="15" s="1"/>
  <c r="J20" i="15" s="1"/>
  <c r="K20" i="15" s="1"/>
  <c r="L20" i="15" s="1"/>
  <c r="M20" i="15" s="1"/>
  <c r="N20" i="15" s="1"/>
  <c r="O20" i="15" s="1"/>
  <c r="P20" i="15" s="1"/>
  <c r="Q20" i="15" s="1"/>
  <c r="R20" i="15" s="1"/>
  <c r="S20" i="15" s="1"/>
  <c r="T20" i="15" s="1"/>
  <c r="U20" i="15" s="1"/>
  <c r="H19" i="15"/>
  <c r="I19" i="15" s="1"/>
  <c r="J19" i="15" s="1"/>
  <c r="K19" i="15" s="1"/>
  <c r="L19" i="15" s="1"/>
  <c r="M19" i="15" s="1"/>
  <c r="N19" i="15" s="1"/>
  <c r="O19" i="15" s="1"/>
  <c r="P19" i="15" s="1"/>
  <c r="Q19" i="15" s="1"/>
  <c r="R19" i="15" s="1"/>
  <c r="S19" i="15" s="1"/>
  <c r="T19" i="15" s="1"/>
  <c r="U19" i="15" s="1"/>
  <c r="F19" i="15"/>
  <c r="G19" i="15" s="1"/>
  <c r="K18" i="15"/>
  <c r="L18" i="15" s="1"/>
  <c r="M18" i="15" s="1"/>
  <c r="N18" i="15" s="1"/>
  <c r="O18" i="15" s="1"/>
  <c r="P18" i="15" s="1"/>
  <c r="Q18" i="15" s="1"/>
  <c r="R18" i="15" s="1"/>
  <c r="S18" i="15" s="1"/>
  <c r="T18" i="15" s="1"/>
  <c r="U18" i="15" s="1"/>
  <c r="J18" i="15"/>
  <c r="I18" i="15"/>
  <c r="H18" i="15"/>
  <c r="G18" i="15"/>
  <c r="I17" i="15"/>
  <c r="J17" i="15" s="1"/>
  <c r="K17" i="15" s="1"/>
  <c r="L17" i="15" s="1"/>
  <c r="M17" i="15" s="1"/>
  <c r="N17" i="15" s="1"/>
  <c r="O17" i="15" s="1"/>
  <c r="P17" i="15" s="1"/>
  <c r="Q17" i="15" s="1"/>
  <c r="R17" i="15" s="1"/>
  <c r="S17" i="15" s="1"/>
  <c r="T17" i="15" s="1"/>
  <c r="U17" i="15" s="1"/>
  <c r="H17" i="15"/>
  <c r="G17" i="15"/>
  <c r="F17" i="15"/>
  <c r="I16" i="15"/>
  <c r="J16" i="15" s="1"/>
  <c r="H16" i="15"/>
  <c r="H22" i="15" s="1"/>
  <c r="G16" i="15"/>
  <c r="F16" i="15"/>
  <c r="F15" i="15"/>
  <c r="F14" i="15"/>
  <c r="U13" i="15"/>
  <c r="T13" i="15"/>
  <c r="S13" i="15"/>
  <c r="R13" i="15"/>
  <c r="Q13" i="15"/>
  <c r="O13" i="15"/>
  <c r="N13" i="15"/>
  <c r="M13" i="15"/>
  <c r="L13" i="15"/>
  <c r="K13" i="15"/>
  <c r="J13" i="15"/>
  <c r="I13" i="15"/>
  <c r="H13" i="15"/>
  <c r="G12" i="15"/>
  <c r="F12" i="15"/>
  <c r="P11" i="15"/>
  <c r="P13" i="15" s="1"/>
  <c r="G11" i="15"/>
  <c r="F11" i="15"/>
  <c r="F6" i="15"/>
  <c r="J6" i="15" s="1"/>
  <c r="K6" i="15" s="1"/>
  <c r="J5" i="15"/>
  <c r="K5" i="15" s="1"/>
  <c r="L5" i="15" s="1"/>
  <c r="M5" i="15" s="1"/>
  <c r="N5" i="15" s="1"/>
  <c r="O5" i="15" s="1"/>
  <c r="P5" i="15" s="1"/>
  <c r="Q5" i="15" s="1"/>
  <c r="R5" i="15" s="1"/>
  <c r="S5" i="15" s="1"/>
  <c r="T5" i="15" s="1"/>
  <c r="U5" i="15" s="1"/>
  <c r="I5" i="15"/>
  <c r="H5" i="15"/>
  <c r="F5" i="15"/>
  <c r="G5" i="15" s="1"/>
  <c r="G7" i="15" s="1"/>
  <c r="H3" i="15"/>
  <c r="I3" i="15" s="1"/>
  <c r="J3" i="15" s="1"/>
  <c r="K3" i="15" s="1"/>
  <c r="L3" i="15" s="1"/>
  <c r="M3" i="15" s="1"/>
  <c r="N3" i="15" s="1"/>
  <c r="O3" i="15" s="1"/>
  <c r="P3" i="15" s="1"/>
  <c r="K59" i="16"/>
  <c r="L59" i="16" s="1"/>
  <c r="M59" i="16" s="1"/>
  <c r="N59" i="16" s="1"/>
  <c r="O59" i="16" s="1"/>
  <c r="P59" i="16" s="1"/>
  <c r="Q59" i="16" s="1"/>
  <c r="R59" i="16" s="1"/>
  <c r="S59" i="16" s="1"/>
  <c r="T59" i="16" s="1"/>
  <c r="U59" i="16" s="1"/>
  <c r="F59" i="16"/>
  <c r="E59" i="16"/>
  <c r="L58" i="16"/>
  <c r="M58" i="16" s="1"/>
  <c r="N58" i="16" s="1"/>
  <c r="O58" i="16" s="1"/>
  <c r="P58" i="16" s="1"/>
  <c r="Q58" i="16" s="1"/>
  <c r="R58" i="16" s="1"/>
  <c r="S58" i="16" s="1"/>
  <c r="T58" i="16" s="1"/>
  <c r="U58" i="16" s="1"/>
  <c r="F58" i="16"/>
  <c r="G58" i="16" s="1"/>
  <c r="H58" i="16" s="1"/>
  <c r="I58" i="16" s="1"/>
  <c r="J58" i="16" s="1"/>
  <c r="K58" i="16" s="1"/>
  <c r="F57" i="16"/>
  <c r="H57" i="16" s="1"/>
  <c r="I57" i="16" s="1"/>
  <c r="J57" i="16" s="1"/>
  <c r="K57" i="16" s="1"/>
  <c r="L57" i="16" s="1"/>
  <c r="M57" i="16" s="1"/>
  <c r="N57" i="16" s="1"/>
  <c r="O57" i="16" s="1"/>
  <c r="P57" i="16" s="1"/>
  <c r="Q57" i="16" s="1"/>
  <c r="R57" i="16" s="1"/>
  <c r="S57" i="16" s="1"/>
  <c r="T57" i="16" s="1"/>
  <c r="U57" i="16" s="1"/>
  <c r="E57" i="16"/>
  <c r="E56" i="16"/>
  <c r="D56" i="16"/>
  <c r="G55" i="16"/>
  <c r="F55" i="16"/>
  <c r="E55" i="16"/>
  <c r="F54" i="16"/>
  <c r="F53" i="16"/>
  <c r="K52" i="16"/>
  <c r="J52" i="16"/>
  <c r="I52" i="16"/>
  <c r="E51" i="16"/>
  <c r="G51" i="16" s="1"/>
  <c r="H51" i="16" s="1"/>
  <c r="G50" i="16"/>
  <c r="F50" i="16"/>
  <c r="E50" i="16"/>
  <c r="D50" i="16"/>
  <c r="F46" i="16"/>
  <c r="H45" i="16"/>
  <c r="H46" i="16" s="1"/>
  <c r="G45" i="16"/>
  <c r="G46" i="16" s="1"/>
  <c r="E45" i="16"/>
  <c r="D45" i="16"/>
  <c r="H44" i="16"/>
  <c r="E44" i="16"/>
  <c r="D44" i="16"/>
  <c r="H43" i="16"/>
  <c r="I43" i="16" s="1"/>
  <c r="J43" i="16" s="1"/>
  <c r="K43" i="16" s="1"/>
  <c r="L43" i="16" s="1"/>
  <c r="M43" i="16" s="1"/>
  <c r="N43" i="16" s="1"/>
  <c r="O43" i="16" s="1"/>
  <c r="P43" i="16" s="1"/>
  <c r="I24" i="16"/>
  <c r="F24" i="16"/>
  <c r="F64" i="16" s="1"/>
  <c r="G64" i="16" s="1"/>
  <c r="H64" i="16" s="1"/>
  <c r="I64" i="16" s="1"/>
  <c r="J64" i="16" s="1"/>
  <c r="K64" i="16" s="1"/>
  <c r="L64" i="16" s="1"/>
  <c r="M64" i="16" s="1"/>
  <c r="N64" i="16" s="1"/>
  <c r="O64" i="16" s="1"/>
  <c r="P64" i="16" s="1"/>
  <c r="Q64" i="16" s="1"/>
  <c r="R64" i="16" s="1"/>
  <c r="S64" i="16" s="1"/>
  <c r="T64" i="16" s="1"/>
  <c r="U64" i="16" s="1"/>
  <c r="I23" i="16"/>
  <c r="J23" i="16" s="1"/>
  <c r="K23" i="16" s="1"/>
  <c r="L23" i="16" s="1"/>
  <c r="M23" i="16" s="1"/>
  <c r="N23" i="16" s="1"/>
  <c r="O23" i="16" s="1"/>
  <c r="P23" i="16" s="1"/>
  <c r="Q23" i="16" s="1"/>
  <c r="R23" i="16" s="1"/>
  <c r="S23" i="16" s="1"/>
  <c r="T23" i="16" s="1"/>
  <c r="U23" i="16" s="1"/>
  <c r="H23" i="16"/>
  <c r="E23" i="16"/>
  <c r="F23" i="16" s="1"/>
  <c r="G23" i="16" s="1"/>
  <c r="H20" i="16"/>
  <c r="K19" i="16"/>
  <c r="L19" i="16" s="1"/>
  <c r="M19" i="16" s="1"/>
  <c r="N19" i="16" s="1"/>
  <c r="O19" i="16" s="1"/>
  <c r="P19" i="16" s="1"/>
  <c r="Q19" i="16" s="1"/>
  <c r="R19" i="16" s="1"/>
  <c r="S19" i="16" s="1"/>
  <c r="T19" i="16" s="1"/>
  <c r="U19" i="16" s="1"/>
  <c r="J19" i="16"/>
  <c r="H19" i="16"/>
  <c r="I19" i="16" s="1"/>
  <c r="G19" i="16"/>
  <c r="G59" i="16" s="1"/>
  <c r="H59" i="16" s="1"/>
  <c r="I59" i="16" s="1"/>
  <c r="J59" i="16" s="1"/>
  <c r="I18" i="16"/>
  <c r="J18" i="16" s="1"/>
  <c r="K18" i="16" s="1"/>
  <c r="L18" i="16" s="1"/>
  <c r="M18" i="16" s="1"/>
  <c r="N18" i="16" s="1"/>
  <c r="O18" i="16" s="1"/>
  <c r="P18" i="16" s="1"/>
  <c r="Q18" i="16" s="1"/>
  <c r="R18" i="16" s="1"/>
  <c r="S18" i="16" s="1"/>
  <c r="T18" i="16" s="1"/>
  <c r="U18" i="16" s="1"/>
  <c r="G18" i="16"/>
  <c r="H18" i="16" s="1"/>
  <c r="H17" i="16"/>
  <c r="I17" i="16" s="1"/>
  <c r="J17" i="16" s="1"/>
  <c r="K17" i="16" s="1"/>
  <c r="L17" i="16" s="1"/>
  <c r="M17" i="16" s="1"/>
  <c r="N17" i="16" s="1"/>
  <c r="O17" i="16" s="1"/>
  <c r="P17" i="16" s="1"/>
  <c r="Q17" i="16" s="1"/>
  <c r="R17" i="16" s="1"/>
  <c r="S17" i="16" s="1"/>
  <c r="T17" i="16" s="1"/>
  <c r="U17" i="16" s="1"/>
  <c r="G17" i="16"/>
  <c r="G57" i="16" s="1"/>
  <c r="H16" i="16"/>
  <c r="G16" i="16"/>
  <c r="F16" i="16"/>
  <c r="H15" i="16"/>
  <c r="I15" i="16" s="1"/>
  <c r="G15" i="16"/>
  <c r="F15" i="16"/>
  <c r="F20" i="16" s="1"/>
  <c r="F14" i="16"/>
  <c r="F13" i="16"/>
  <c r="K12" i="16"/>
  <c r="J12" i="16"/>
  <c r="I12" i="16"/>
  <c r="H11" i="16"/>
  <c r="F11" i="16"/>
  <c r="G11" i="16" s="1"/>
  <c r="F10" i="16"/>
  <c r="G10" i="16" s="1"/>
  <c r="H10" i="16" s="1"/>
  <c r="H12" i="16" s="1"/>
  <c r="F5" i="16"/>
  <c r="J4" i="16"/>
  <c r="I4" i="16" s="1"/>
  <c r="H4" i="16" s="1"/>
  <c r="L3" i="16"/>
  <c r="M3" i="16" s="1"/>
  <c r="N3" i="16" s="1"/>
  <c r="O3" i="16" s="1"/>
  <c r="P3" i="16" s="1"/>
  <c r="J3" i="16"/>
  <c r="K3" i="16" s="1"/>
  <c r="H3" i="16"/>
  <c r="I3" i="16" s="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D32" i="11"/>
  <c r="C32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E31" i="11"/>
  <c r="D31" i="11"/>
  <c r="C31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E27" i="11"/>
  <c r="D27" i="11"/>
  <c r="C27" i="11"/>
  <c r="C12" i="11"/>
  <c r="C36" i="11" s="1"/>
  <c r="C9" i="1"/>
  <c r="C4" i="1"/>
  <c r="F10" i="1"/>
  <c r="F9" i="1"/>
  <c r="F8" i="1"/>
  <c r="F6" i="1"/>
  <c r="F4" i="1"/>
  <c r="E10" i="1"/>
  <c r="E9" i="1"/>
  <c r="E8" i="1"/>
  <c r="E4" i="1"/>
  <c r="D9" i="1"/>
  <c r="D4" i="1"/>
  <c r="D8" i="1"/>
  <c r="C8" i="1"/>
  <c r="L5" i="1"/>
  <c r="L13" i="1" s="1"/>
  <c r="B10" i="1"/>
  <c r="B9" i="1"/>
  <c r="B8" i="1"/>
  <c r="B6" i="1"/>
  <c r="G6" i="1" s="1"/>
  <c r="B4" i="1"/>
  <c r="G9" i="11"/>
  <c r="H9" i="11"/>
  <c r="I9" i="11"/>
  <c r="J9" i="11"/>
  <c r="K9" i="11"/>
  <c r="L9" i="11"/>
  <c r="M9" i="11"/>
  <c r="N9" i="11"/>
  <c r="O9" i="11"/>
  <c r="P9" i="11"/>
  <c r="Q9" i="11"/>
  <c r="F9" i="11"/>
  <c r="E9" i="11"/>
  <c r="D9" i="11"/>
  <c r="C9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D8" i="11"/>
  <c r="C8" i="11"/>
  <c r="F7" i="11"/>
  <c r="G7" i="11"/>
  <c r="H7" i="11"/>
  <c r="I7" i="11"/>
  <c r="J7" i="11"/>
  <c r="K7" i="11"/>
  <c r="L7" i="11"/>
  <c r="M7" i="11"/>
  <c r="N7" i="11"/>
  <c r="O7" i="11"/>
  <c r="P7" i="11"/>
  <c r="Q7" i="11"/>
  <c r="E7" i="11"/>
  <c r="D7" i="11"/>
  <c r="C7" i="11"/>
  <c r="R6" i="11"/>
  <c r="S6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D5" i="11"/>
  <c r="C5" i="11"/>
  <c r="D3" i="11"/>
  <c r="E3" i="11"/>
  <c r="F3" i="11"/>
  <c r="G3" i="11"/>
  <c r="H3" i="11"/>
  <c r="I3" i="11"/>
  <c r="J3" i="11"/>
  <c r="K3" i="11"/>
  <c r="L3" i="11"/>
  <c r="M3" i="11"/>
  <c r="N3" i="11"/>
  <c r="O3" i="11"/>
  <c r="P3" i="11"/>
  <c r="Q3" i="11"/>
  <c r="C3" i="11"/>
  <c r="V12" i="11"/>
  <c r="G65" i="7"/>
  <c r="F65" i="7"/>
  <c r="F64" i="7"/>
  <c r="D64" i="7"/>
  <c r="H64" i="7" s="1"/>
  <c r="D63" i="7"/>
  <c r="D62" i="7"/>
  <c r="D61" i="7"/>
  <c r="J60" i="7"/>
  <c r="K60" i="7" s="1"/>
  <c r="L60" i="7" s="1"/>
  <c r="M60" i="7" s="1"/>
  <c r="N60" i="7" s="1"/>
  <c r="O60" i="7" s="1"/>
  <c r="P60" i="7" s="1"/>
  <c r="Q60" i="7" s="1"/>
  <c r="R60" i="7" s="1"/>
  <c r="S60" i="7" s="1"/>
  <c r="T60" i="7" s="1"/>
  <c r="U60" i="7" s="1"/>
  <c r="I60" i="7"/>
  <c r="I59" i="7"/>
  <c r="J58" i="7"/>
  <c r="K58" i="7" s="1"/>
  <c r="L58" i="7" s="1"/>
  <c r="M58" i="7" s="1"/>
  <c r="N58" i="7" s="1"/>
  <c r="O58" i="7" s="1"/>
  <c r="P58" i="7" s="1"/>
  <c r="Q58" i="7" s="1"/>
  <c r="R58" i="7" s="1"/>
  <c r="S58" i="7" s="1"/>
  <c r="T58" i="7" s="1"/>
  <c r="U58" i="7" s="1"/>
  <c r="I58" i="7"/>
  <c r="G58" i="7"/>
  <c r="F58" i="7"/>
  <c r="H58" i="7" s="1"/>
  <c r="F56" i="7"/>
  <c r="H56" i="7" s="1"/>
  <c r="I56" i="7" s="1"/>
  <c r="J56" i="7" s="1"/>
  <c r="K56" i="7" s="1"/>
  <c r="L56" i="7" s="1"/>
  <c r="M56" i="7" s="1"/>
  <c r="N56" i="7" s="1"/>
  <c r="O56" i="7" s="1"/>
  <c r="P56" i="7" s="1"/>
  <c r="Q56" i="7" s="1"/>
  <c r="R56" i="7" s="1"/>
  <c r="S56" i="7" s="1"/>
  <c r="T56" i="7" s="1"/>
  <c r="U56" i="7" s="1"/>
  <c r="F54" i="7"/>
  <c r="E54" i="7"/>
  <c r="D54" i="7"/>
  <c r="E53" i="7"/>
  <c r="D53" i="7"/>
  <c r="F53" i="7" s="1"/>
  <c r="U52" i="7"/>
  <c r="T52" i="7"/>
  <c r="S52" i="7"/>
  <c r="R52" i="7"/>
  <c r="Q52" i="7"/>
  <c r="O52" i="7"/>
  <c r="N52" i="7"/>
  <c r="M52" i="7"/>
  <c r="L52" i="7"/>
  <c r="K52" i="7"/>
  <c r="J52" i="7"/>
  <c r="I52" i="7"/>
  <c r="H52" i="7"/>
  <c r="E52" i="7"/>
  <c r="D52" i="7"/>
  <c r="E51" i="7"/>
  <c r="D51" i="7"/>
  <c r="G51" i="7" s="1"/>
  <c r="P50" i="7"/>
  <c r="P52" i="7" s="1"/>
  <c r="G50" i="7"/>
  <c r="G52" i="7" s="1"/>
  <c r="E50" i="7"/>
  <c r="D50" i="7"/>
  <c r="F50" i="7" s="1"/>
  <c r="E49" i="7"/>
  <c r="D49" i="7"/>
  <c r="E48" i="7"/>
  <c r="D48" i="7"/>
  <c r="E47" i="7"/>
  <c r="D47" i="7"/>
  <c r="E46" i="7"/>
  <c r="D46" i="7"/>
  <c r="I44" i="7"/>
  <c r="J44" i="7" s="1"/>
  <c r="K44" i="7" s="1"/>
  <c r="L44" i="7" s="1"/>
  <c r="M44" i="7" s="1"/>
  <c r="N44" i="7" s="1"/>
  <c r="O44" i="7" s="1"/>
  <c r="P44" i="7" s="1"/>
  <c r="Q44" i="7" s="1"/>
  <c r="R44" i="7" s="1"/>
  <c r="S44" i="7" s="1"/>
  <c r="T44" i="7" s="1"/>
  <c r="U44" i="7" s="1"/>
  <c r="F44" i="7"/>
  <c r="H44" i="7" s="1"/>
  <c r="F43" i="7"/>
  <c r="I42" i="7"/>
  <c r="J42" i="7" s="1"/>
  <c r="K42" i="7" s="1"/>
  <c r="L42" i="7" s="1"/>
  <c r="M42" i="7" s="1"/>
  <c r="N42" i="7" s="1"/>
  <c r="O42" i="7" s="1"/>
  <c r="P42" i="7" s="1"/>
  <c r="H42" i="7"/>
  <c r="H25" i="7"/>
  <c r="E25" i="7"/>
  <c r="F25" i="7" s="1"/>
  <c r="F20" i="7"/>
  <c r="F60" i="7" s="1"/>
  <c r="K19" i="7"/>
  <c r="L19" i="7" s="1"/>
  <c r="M19" i="7" s="1"/>
  <c r="N19" i="7" s="1"/>
  <c r="O19" i="7" s="1"/>
  <c r="P19" i="7" s="1"/>
  <c r="Q19" i="7" s="1"/>
  <c r="R19" i="7" s="1"/>
  <c r="S19" i="7" s="1"/>
  <c r="T19" i="7" s="1"/>
  <c r="U19" i="7" s="1"/>
  <c r="I19" i="7"/>
  <c r="J19" i="7" s="1"/>
  <c r="H19" i="7"/>
  <c r="F19" i="7"/>
  <c r="F59" i="7" s="1"/>
  <c r="J59" i="7" s="1"/>
  <c r="K59" i="7" s="1"/>
  <c r="L59" i="7" s="1"/>
  <c r="M59" i="7" s="1"/>
  <c r="N59" i="7" s="1"/>
  <c r="O59" i="7" s="1"/>
  <c r="P59" i="7" s="1"/>
  <c r="Q59" i="7" s="1"/>
  <c r="R59" i="7" s="1"/>
  <c r="S59" i="7" s="1"/>
  <c r="T59" i="7" s="1"/>
  <c r="U59" i="7" s="1"/>
  <c r="K18" i="7"/>
  <c r="L18" i="7" s="1"/>
  <c r="M18" i="7" s="1"/>
  <c r="N18" i="7" s="1"/>
  <c r="O18" i="7" s="1"/>
  <c r="P18" i="7" s="1"/>
  <c r="Q18" i="7" s="1"/>
  <c r="R18" i="7" s="1"/>
  <c r="S18" i="7" s="1"/>
  <c r="T18" i="7" s="1"/>
  <c r="U18" i="7" s="1"/>
  <c r="I18" i="7"/>
  <c r="J18" i="7" s="1"/>
  <c r="H18" i="7"/>
  <c r="G18" i="7"/>
  <c r="J17" i="7"/>
  <c r="K17" i="7" s="1"/>
  <c r="L17" i="7" s="1"/>
  <c r="M17" i="7" s="1"/>
  <c r="N17" i="7" s="1"/>
  <c r="O17" i="7" s="1"/>
  <c r="P17" i="7" s="1"/>
  <c r="Q17" i="7" s="1"/>
  <c r="R17" i="7" s="1"/>
  <c r="S17" i="7" s="1"/>
  <c r="T17" i="7" s="1"/>
  <c r="U17" i="7" s="1"/>
  <c r="H17" i="7"/>
  <c r="I17" i="7" s="1"/>
  <c r="G17" i="7"/>
  <c r="F17" i="7"/>
  <c r="F57" i="7" s="1"/>
  <c r="J16" i="7"/>
  <c r="K16" i="7" s="1"/>
  <c r="L16" i="7" s="1"/>
  <c r="M16" i="7" s="1"/>
  <c r="N16" i="7" s="1"/>
  <c r="O16" i="7" s="1"/>
  <c r="P16" i="7" s="1"/>
  <c r="Q16" i="7" s="1"/>
  <c r="R16" i="7" s="1"/>
  <c r="S16" i="7" s="1"/>
  <c r="T16" i="7" s="1"/>
  <c r="U16" i="7" s="1"/>
  <c r="H16" i="7"/>
  <c r="I16" i="7" s="1"/>
  <c r="F15" i="7"/>
  <c r="H15" i="7" s="1"/>
  <c r="F14" i="7"/>
  <c r="F13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1" i="7"/>
  <c r="F11" i="7"/>
  <c r="F12" i="7" s="1"/>
  <c r="P10" i="7"/>
  <c r="G10" i="7"/>
  <c r="G12" i="7" s="1"/>
  <c r="F10" i="7"/>
  <c r="G6" i="7"/>
  <c r="F6" i="7"/>
  <c r="H5" i="7"/>
  <c r="K4" i="7"/>
  <c r="J4" i="7"/>
  <c r="I4" i="7"/>
  <c r="H4" i="7"/>
  <c r="G4" i="7"/>
  <c r="M3" i="7"/>
  <c r="N3" i="7" s="1"/>
  <c r="O3" i="7" s="1"/>
  <c r="P3" i="7" s="1"/>
  <c r="H3" i="7"/>
  <c r="I3" i="7" s="1"/>
  <c r="J3" i="7" s="1"/>
  <c r="K3" i="7" s="1"/>
  <c r="L3" i="7" s="1"/>
  <c r="J14" i="12" l="1"/>
  <c r="I21" i="12"/>
  <c r="I56" i="12"/>
  <c r="J50" i="12"/>
  <c r="J26" i="12"/>
  <c r="K24" i="12"/>
  <c r="N4" i="12"/>
  <c r="M6" i="12"/>
  <c r="K41" i="12"/>
  <c r="G63" i="12"/>
  <c r="G64" i="12" s="1"/>
  <c r="G61" i="12"/>
  <c r="J60" i="12"/>
  <c r="K59" i="12"/>
  <c r="H29" i="12"/>
  <c r="H30" i="12" s="1"/>
  <c r="H27" i="12"/>
  <c r="H63" i="12"/>
  <c r="H64" i="12" s="1"/>
  <c r="I9" i="20"/>
  <c r="K26" i="20"/>
  <c r="L26" i="20" s="1"/>
  <c r="M26" i="20" s="1"/>
  <c r="N26" i="20" s="1"/>
  <c r="O26" i="20" s="1"/>
  <c r="P26" i="20" s="1"/>
  <c r="Q26" i="20" s="1"/>
  <c r="R26" i="20" s="1"/>
  <c r="J11" i="20"/>
  <c r="I13" i="20"/>
  <c r="I17" i="20" s="1"/>
  <c r="F13" i="15"/>
  <c r="G13" i="15"/>
  <c r="F45" i="15"/>
  <c r="F44" i="15"/>
  <c r="H25" i="15"/>
  <c r="F46" i="15"/>
  <c r="G44" i="15"/>
  <c r="G46" i="15" s="1"/>
  <c r="I44" i="16"/>
  <c r="K4" i="16"/>
  <c r="L4" i="16" s="1"/>
  <c r="I45" i="16"/>
  <c r="J45" i="16" s="1"/>
  <c r="K45" i="16" s="1"/>
  <c r="L45" i="16" s="1"/>
  <c r="M45" i="16" s="1"/>
  <c r="N45" i="16" s="1"/>
  <c r="O45" i="16" s="1"/>
  <c r="P45" i="16" s="1"/>
  <c r="Q45" i="16" s="1"/>
  <c r="R45" i="16" s="1"/>
  <c r="S45" i="16" s="1"/>
  <c r="T45" i="16" s="1"/>
  <c r="U45" i="16" s="1"/>
  <c r="I46" i="16"/>
  <c r="J8" i="14"/>
  <c r="F18" i="14"/>
  <c r="M4" i="14"/>
  <c r="N4" i="14" s="1"/>
  <c r="J18" i="14"/>
  <c r="K18" i="14" s="1"/>
  <c r="L18" i="14" s="1"/>
  <c r="M18" i="14" s="1"/>
  <c r="N18" i="14" s="1"/>
  <c r="O18" i="14" s="1"/>
  <c r="P18" i="14" s="1"/>
  <c r="Q18" i="14" s="1"/>
  <c r="R18" i="14" s="1"/>
  <c r="S18" i="14" s="1"/>
  <c r="T18" i="14" s="1"/>
  <c r="U18" i="14" s="1"/>
  <c r="H15" i="13"/>
  <c r="I15" i="13" s="1"/>
  <c r="F26" i="13"/>
  <c r="H42" i="13"/>
  <c r="H43" i="13" s="1"/>
  <c r="G42" i="13"/>
  <c r="G43" i="13" s="1"/>
  <c r="K4" i="13"/>
  <c r="L4" i="13" s="1"/>
  <c r="L6" i="13" s="1"/>
  <c r="J42" i="13"/>
  <c r="J43" i="13" s="1"/>
  <c r="F43" i="13"/>
  <c r="I4" i="13"/>
  <c r="I6" i="13" s="1"/>
  <c r="H4" i="13"/>
  <c r="H6" i="13" s="1"/>
  <c r="G4" i="13"/>
  <c r="G6" i="13" s="1"/>
  <c r="H16" i="14"/>
  <c r="F53" i="14"/>
  <c r="G18" i="14"/>
  <c r="H18" i="14" s="1"/>
  <c r="I18" i="14" s="1"/>
  <c r="H27" i="14"/>
  <c r="I26" i="14"/>
  <c r="I60" i="14"/>
  <c r="I61" i="14" s="1"/>
  <c r="F42" i="14"/>
  <c r="G39" i="14"/>
  <c r="G42" i="14" s="1"/>
  <c r="K40" i="14"/>
  <c r="L40" i="14" s="1"/>
  <c r="M40" i="14" s="1"/>
  <c r="N40" i="14" s="1"/>
  <c r="O40" i="14" s="1"/>
  <c r="P40" i="14" s="1"/>
  <c r="Q40" i="14" s="1"/>
  <c r="R40" i="14" s="1"/>
  <c r="S40" i="14" s="1"/>
  <c r="T40" i="14" s="1"/>
  <c r="U40" i="14" s="1"/>
  <c r="H40" i="14"/>
  <c r="I40" i="14" s="1"/>
  <c r="K8" i="14"/>
  <c r="F51" i="14"/>
  <c r="F23" i="14"/>
  <c r="G17" i="14"/>
  <c r="H17" i="14" s="1"/>
  <c r="I17" i="14" s="1"/>
  <c r="J17" i="14" s="1"/>
  <c r="K17" i="14" s="1"/>
  <c r="L17" i="14" s="1"/>
  <c r="M17" i="14" s="1"/>
  <c r="N17" i="14" s="1"/>
  <c r="O17" i="14" s="1"/>
  <c r="P17" i="14" s="1"/>
  <c r="Q17" i="14" s="1"/>
  <c r="R17" i="14" s="1"/>
  <c r="S17" i="14" s="1"/>
  <c r="T17" i="14" s="1"/>
  <c r="U17" i="14" s="1"/>
  <c r="F52" i="14"/>
  <c r="G52" i="14" s="1"/>
  <c r="H52" i="14" s="1"/>
  <c r="I52" i="14" s="1"/>
  <c r="J52" i="14" s="1"/>
  <c r="K52" i="14" s="1"/>
  <c r="L52" i="14" s="1"/>
  <c r="M52" i="14" s="1"/>
  <c r="N52" i="14" s="1"/>
  <c r="O52" i="14" s="1"/>
  <c r="P52" i="14" s="1"/>
  <c r="Q52" i="14" s="1"/>
  <c r="R52" i="14" s="1"/>
  <c r="S52" i="14" s="1"/>
  <c r="T52" i="14" s="1"/>
  <c r="U52" i="14" s="1"/>
  <c r="H61" i="14"/>
  <c r="G8" i="14"/>
  <c r="H12" i="14"/>
  <c r="H13" i="14" s="1"/>
  <c r="F26" i="14"/>
  <c r="G54" i="14"/>
  <c r="H56" i="14"/>
  <c r="F13" i="14"/>
  <c r="H54" i="14"/>
  <c r="I56" i="14"/>
  <c r="G13" i="14"/>
  <c r="H54" i="13"/>
  <c r="I54" i="13" s="1"/>
  <c r="J54" i="13" s="1"/>
  <c r="K54" i="13" s="1"/>
  <c r="L54" i="13" s="1"/>
  <c r="M54" i="13" s="1"/>
  <c r="N54" i="13" s="1"/>
  <c r="O54" i="13" s="1"/>
  <c r="P54" i="13" s="1"/>
  <c r="Q54" i="13" s="1"/>
  <c r="R54" i="13" s="1"/>
  <c r="S54" i="13" s="1"/>
  <c r="T54" i="13" s="1"/>
  <c r="U54" i="13" s="1"/>
  <c r="G54" i="13"/>
  <c r="G52" i="13"/>
  <c r="H52" i="13"/>
  <c r="F49" i="13"/>
  <c r="I55" i="13"/>
  <c r="J55" i="13"/>
  <c r="K55" i="13" s="1"/>
  <c r="L55" i="13" s="1"/>
  <c r="M55" i="13" s="1"/>
  <c r="N55" i="13" s="1"/>
  <c r="O55" i="13" s="1"/>
  <c r="P55" i="13" s="1"/>
  <c r="Q55" i="13" s="1"/>
  <c r="R55" i="13" s="1"/>
  <c r="S55" i="13" s="1"/>
  <c r="T55" i="13" s="1"/>
  <c r="U55" i="13" s="1"/>
  <c r="H55" i="13"/>
  <c r="G55" i="13"/>
  <c r="H61" i="13"/>
  <c r="J15" i="13"/>
  <c r="I21" i="13"/>
  <c r="F6" i="13"/>
  <c r="I42" i="13"/>
  <c r="I43" i="13" s="1"/>
  <c r="F56" i="13"/>
  <c r="G56" i="13" s="1"/>
  <c r="H10" i="13"/>
  <c r="H12" i="13" s="1"/>
  <c r="G12" i="13"/>
  <c r="G26" i="13" s="1"/>
  <c r="H21" i="13"/>
  <c r="G24" i="13"/>
  <c r="G25" i="13" s="1"/>
  <c r="F53" i="13"/>
  <c r="G53" i="13" s="1"/>
  <c r="H56" i="13"/>
  <c r="F57" i="13"/>
  <c r="G57" i="13" s="1"/>
  <c r="H24" i="13"/>
  <c r="I56" i="13"/>
  <c r="H53" i="13"/>
  <c r="H57" i="13"/>
  <c r="I53" i="13"/>
  <c r="I57" i="13"/>
  <c r="I49" i="15"/>
  <c r="K16" i="15"/>
  <c r="J22" i="15"/>
  <c r="L6" i="15"/>
  <c r="K39" i="15"/>
  <c r="P39" i="15" s="1"/>
  <c r="U39" i="15" s="1"/>
  <c r="J38" i="15"/>
  <c r="K38" i="15" s="1"/>
  <c r="L38" i="15" s="1"/>
  <c r="M38" i="15" s="1"/>
  <c r="N38" i="15" s="1"/>
  <c r="O38" i="15" s="1"/>
  <c r="P38" i="15" s="1"/>
  <c r="Q38" i="15" s="1"/>
  <c r="R38" i="15" s="1"/>
  <c r="S38" i="15" s="1"/>
  <c r="T38" i="15" s="1"/>
  <c r="U38" i="15" s="1"/>
  <c r="I38" i="15"/>
  <c r="H38" i="15"/>
  <c r="F38" i="15"/>
  <c r="G38" i="15" s="1"/>
  <c r="G40" i="15" s="1"/>
  <c r="F26" i="15"/>
  <c r="G25" i="15"/>
  <c r="G26" i="15" s="1"/>
  <c r="G27" i="15" s="1"/>
  <c r="N6" i="15"/>
  <c r="R6" i="15" s="1"/>
  <c r="H51" i="15"/>
  <c r="I51" i="15" s="1"/>
  <c r="J51" i="15" s="1"/>
  <c r="K51" i="15" s="1"/>
  <c r="L51" i="15" s="1"/>
  <c r="M51" i="15" s="1"/>
  <c r="N51" i="15" s="1"/>
  <c r="O51" i="15" s="1"/>
  <c r="P51" i="15" s="1"/>
  <c r="Q51" i="15" s="1"/>
  <c r="R51" i="15" s="1"/>
  <c r="S51" i="15" s="1"/>
  <c r="T51" i="15" s="1"/>
  <c r="U51" i="15" s="1"/>
  <c r="G51" i="15"/>
  <c r="G55" i="15" s="1"/>
  <c r="O6" i="15"/>
  <c r="S6" i="15" s="1"/>
  <c r="F55" i="15"/>
  <c r="J52" i="15"/>
  <c r="K52" i="15" s="1"/>
  <c r="L52" i="15" s="1"/>
  <c r="M52" i="15" s="1"/>
  <c r="N52" i="15" s="1"/>
  <c r="O52" i="15" s="1"/>
  <c r="P52" i="15" s="1"/>
  <c r="Q52" i="15" s="1"/>
  <c r="R52" i="15" s="1"/>
  <c r="S52" i="15" s="1"/>
  <c r="T52" i="15" s="1"/>
  <c r="U52" i="15" s="1"/>
  <c r="I52" i="15"/>
  <c r="H52" i="15"/>
  <c r="G52" i="15"/>
  <c r="I22" i="15"/>
  <c r="D37" i="15"/>
  <c r="F37" i="15" s="1"/>
  <c r="F4" i="15"/>
  <c r="G29" i="15"/>
  <c r="G22" i="15"/>
  <c r="H50" i="15"/>
  <c r="H55" i="15" s="1"/>
  <c r="H60" i="15" s="1"/>
  <c r="I58" i="15"/>
  <c r="H59" i="15"/>
  <c r="I50" i="15"/>
  <c r="F22" i="15"/>
  <c r="J5" i="16"/>
  <c r="K5" i="16" s="1"/>
  <c r="L5" i="16" s="1"/>
  <c r="M5" i="16" s="1"/>
  <c r="N5" i="16" s="1"/>
  <c r="O5" i="16" s="1"/>
  <c r="P5" i="16" s="1"/>
  <c r="Q5" i="16" s="1"/>
  <c r="R5" i="16" s="1"/>
  <c r="S5" i="16" s="1"/>
  <c r="T5" i="16" s="1"/>
  <c r="U5" i="16" s="1"/>
  <c r="I6" i="16"/>
  <c r="M4" i="16"/>
  <c r="H25" i="16"/>
  <c r="H6" i="16"/>
  <c r="F25" i="16"/>
  <c r="H24" i="16"/>
  <c r="J44" i="16"/>
  <c r="G52" i="16"/>
  <c r="H50" i="16"/>
  <c r="H52" i="16" s="1"/>
  <c r="J16" i="16"/>
  <c r="I16" i="16"/>
  <c r="I20" i="16" s="1"/>
  <c r="I25" i="16" s="1"/>
  <c r="J15" i="16"/>
  <c r="G24" i="16"/>
  <c r="G20" i="16"/>
  <c r="F56" i="16"/>
  <c r="V23" i="16"/>
  <c r="F6" i="16"/>
  <c r="H55" i="16"/>
  <c r="G5" i="16"/>
  <c r="G6" i="16" s="1"/>
  <c r="F51" i="16"/>
  <c r="F52" i="16" s="1"/>
  <c r="F63" i="16"/>
  <c r="G63" i="16" s="1"/>
  <c r="H63" i="16" s="1"/>
  <c r="L7" i="1"/>
  <c r="L8" i="1"/>
  <c r="L9" i="1"/>
  <c r="L10" i="1"/>
  <c r="L11" i="1"/>
  <c r="L12" i="1"/>
  <c r="C18" i="11"/>
  <c r="H22" i="7"/>
  <c r="I15" i="7"/>
  <c r="F26" i="7"/>
  <c r="F27" i="7" s="1"/>
  <c r="G25" i="7"/>
  <c r="G26" i="7" s="1"/>
  <c r="L4" i="7"/>
  <c r="K6" i="7"/>
  <c r="H26" i="7"/>
  <c r="I25" i="7"/>
  <c r="H65" i="7"/>
  <c r="I64" i="7"/>
  <c r="G15" i="7"/>
  <c r="F55" i="7"/>
  <c r="F22" i="7"/>
  <c r="H57" i="7"/>
  <c r="I57" i="7" s="1"/>
  <c r="J57" i="7" s="1"/>
  <c r="K57" i="7" s="1"/>
  <c r="L57" i="7" s="1"/>
  <c r="M57" i="7" s="1"/>
  <c r="N57" i="7" s="1"/>
  <c r="O57" i="7" s="1"/>
  <c r="P57" i="7" s="1"/>
  <c r="Q57" i="7" s="1"/>
  <c r="R57" i="7" s="1"/>
  <c r="S57" i="7" s="1"/>
  <c r="T57" i="7" s="1"/>
  <c r="U57" i="7" s="1"/>
  <c r="G57" i="7"/>
  <c r="H60" i="7"/>
  <c r="G60" i="7"/>
  <c r="F46" i="7"/>
  <c r="G43" i="7"/>
  <c r="G46" i="7" s="1"/>
  <c r="J43" i="7"/>
  <c r="H59" i="7"/>
  <c r="G59" i="7"/>
  <c r="H43" i="7"/>
  <c r="H46" i="7" s="1"/>
  <c r="J5" i="7"/>
  <c r="K5" i="7" s="1"/>
  <c r="L5" i="7" s="1"/>
  <c r="M5" i="7" s="1"/>
  <c r="N5" i="7" s="1"/>
  <c r="O5" i="7" s="1"/>
  <c r="P5" i="7" s="1"/>
  <c r="Q5" i="7" s="1"/>
  <c r="R5" i="7" s="1"/>
  <c r="S5" i="7" s="1"/>
  <c r="T5" i="7" s="1"/>
  <c r="U5" i="7" s="1"/>
  <c r="I5" i="7"/>
  <c r="I6" i="7" s="1"/>
  <c r="H27" i="7"/>
  <c r="J6" i="7"/>
  <c r="H6" i="7"/>
  <c r="I43" i="7"/>
  <c r="I46" i="7" s="1"/>
  <c r="G19" i="7"/>
  <c r="G20" i="7"/>
  <c r="H20" i="7" s="1"/>
  <c r="I20" i="7" s="1"/>
  <c r="J20" i="7" s="1"/>
  <c r="K20" i="7" s="1"/>
  <c r="L20" i="7" s="1"/>
  <c r="M20" i="7" s="1"/>
  <c r="N20" i="7" s="1"/>
  <c r="O20" i="7" s="1"/>
  <c r="P20" i="7" s="1"/>
  <c r="Q20" i="7" s="1"/>
  <c r="R20" i="7" s="1"/>
  <c r="S20" i="7" s="1"/>
  <c r="T20" i="7" s="1"/>
  <c r="U20" i="7" s="1"/>
  <c r="F51" i="7"/>
  <c r="F52" i="7" s="1"/>
  <c r="I61" i="12" l="1"/>
  <c r="I63" i="12"/>
  <c r="I64" i="12" s="1"/>
  <c r="L41" i="12"/>
  <c r="I27" i="12"/>
  <c r="I29" i="12"/>
  <c r="I30" i="12" s="1"/>
  <c r="N6" i="12"/>
  <c r="O4" i="12"/>
  <c r="K26" i="12"/>
  <c r="L24" i="12"/>
  <c r="J56" i="12"/>
  <c r="K50" i="12"/>
  <c r="K60" i="12"/>
  <c r="L59" i="12"/>
  <c r="K14" i="12"/>
  <c r="J21" i="12"/>
  <c r="J9" i="20"/>
  <c r="J13" i="20"/>
  <c r="J17" i="20" s="1"/>
  <c r="K11" i="20"/>
  <c r="H4" i="15"/>
  <c r="J4" i="15"/>
  <c r="F60" i="15"/>
  <c r="G30" i="15"/>
  <c r="I4" i="15"/>
  <c r="F27" i="15"/>
  <c r="H26" i="15"/>
  <c r="I25" i="15"/>
  <c r="G60" i="15"/>
  <c r="K6" i="16"/>
  <c r="L6" i="16"/>
  <c r="J6" i="16"/>
  <c r="J42" i="14"/>
  <c r="L8" i="14"/>
  <c r="M8" i="14"/>
  <c r="K6" i="13"/>
  <c r="H28" i="13"/>
  <c r="H29" i="13" s="1"/>
  <c r="K42" i="13"/>
  <c r="K43" i="13" s="1"/>
  <c r="M4" i="13"/>
  <c r="M6" i="13" s="1"/>
  <c r="F28" i="14"/>
  <c r="I8" i="14"/>
  <c r="H8" i="14"/>
  <c r="K42" i="14"/>
  <c r="J53" i="14"/>
  <c r="K53" i="14" s="1"/>
  <c r="L53" i="14" s="1"/>
  <c r="M53" i="14" s="1"/>
  <c r="N53" i="14" s="1"/>
  <c r="O53" i="14" s="1"/>
  <c r="P53" i="14" s="1"/>
  <c r="Q53" i="14" s="1"/>
  <c r="R53" i="14" s="1"/>
  <c r="S53" i="14" s="1"/>
  <c r="T53" i="14" s="1"/>
  <c r="U53" i="14" s="1"/>
  <c r="H42" i="14"/>
  <c r="O4" i="14"/>
  <c r="N8" i="14"/>
  <c r="L42" i="14"/>
  <c r="J60" i="14"/>
  <c r="I27" i="14"/>
  <c r="J26" i="14"/>
  <c r="G51" i="14"/>
  <c r="F57" i="14"/>
  <c r="F62" i="14" s="1"/>
  <c r="H23" i="14"/>
  <c r="H28" i="14" s="1"/>
  <c r="I16" i="14"/>
  <c r="H53" i="14"/>
  <c r="I53" i="14" s="1"/>
  <c r="G53" i="14"/>
  <c r="F27" i="14"/>
  <c r="G60" i="14"/>
  <c r="G61" i="14" s="1"/>
  <c r="G23" i="14"/>
  <c r="G30" i="14" s="1"/>
  <c r="G31" i="14" s="1"/>
  <c r="K15" i="13"/>
  <c r="J21" i="13"/>
  <c r="H62" i="13"/>
  <c r="I61" i="13"/>
  <c r="G28" i="13"/>
  <c r="G29" i="13" s="1"/>
  <c r="H25" i="13"/>
  <c r="I24" i="13"/>
  <c r="I28" i="13"/>
  <c r="I29" i="13" s="1"/>
  <c r="F58" i="13"/>
  <c r="F63" i="13" s="1"/>
  <c r="H58" i="13"/>
  <c r="I52" i="13"/>
  <c r="H26" i="13"/>
  <c r="G58" i="13"/>
  <c r="F7" i="15"/>
  <c r="I7" i="15"/>
  <c r="I29" i="15" s="1"/>
  <c r="H7" i="15"/>
  <c r="H29" i="15" s="1"/>
  <c r="L16" i="15"/>
  <c r="K22" i="15"/>
  <c r="J49" i="15"/>
  <c r="I55" i="15"/>
  <c r="M6" i="15"/>
  <c r="Q6" i="15" s="1"/>
  <c r="U6" i="15" s="1"/>
  <c r="P6" i="15"/>
  <c r="T6" i="15" s="1"/>
  <c r="G62" i="15"/>
  <c r="G63" i="15" s="1"/>
  <c r="I59" i="15"/>
  <c r="J58" i="15"/>
  <c r="F40" i="15"/>
  <c r="J37" i="15"/>
  <c r="I37" i="15"/>
  <c r="I40" i="15" s="1"/>
  <c r="I62" i="15" s="1"/>
  <c r="H37" i="15"/>
  <c r="H40" i="15" s="1"/>
  <c r="H62" i="15" s="1"/>
  <c r="H63" i="15" s="1"/>
  <c r="I63" i="16"/>
  <c r="J63" i="16" s="1"/>
  <c r="K63" i="16" s="1"/>
  <c r="L63" i="16" s="1"/>
  <c r="M63" i="16" s="1"/>
  <c r="N63" i="16" s="1"/>
  <c r="O63" i="16" s="1"/>
  <c r="P63" i="16" s="1"/>
  <c r="Q63" i="16" s="1"/>
  <c r="R63" i="16" s="1"/>
  <c r="S63" i="16" s="1"/>
  <c r="T63" i="16" s="1"/>
  <c r="U63" i="16" s="1"/>
  <c r="G25" i="16"/>
  <c r="L16" i="16"/>
  <c r="K16" i="16"/>
  <c r="I55" i="16"/>
  <c r="K15" i="16"/>
  <c r="J24" i="16"/>
  <c r="J20" i="16"/>
  <c r="J25" i="16" s="1"/>
  <c r="G65" i="16"/>
  <c r="K44" i="16"/>
  <c r="J46" i="16"/>
  <c r="I27" i="16"/>
  <c r="I28" i="16" s="1"/>
  <c r="N4" i="16"/>
  <c r="M6" i="16"/>
  <c r="H56" i="16"/>
  <c r="H60" i="16" s="1"/>
  <c r="H65" i="16" s="1"/>
  <c r="G56" i="16"/>
  <c r="G60" i="16" s="1"/>
  <c r="F60" i="16"/>
  <c r="F65" i="16" s="1"/>
  <c r="J46" i="7"/>
  <c r="K43" i="7"/>
  <c r="H29" i="7"/>
  <c r="H30" i="7" s="1"/>
  <c r="J25" i="7"/>
  <c r="I26" i="7"/>
  <c r="G55" i="7"/>
  <c r="G61" i="7" s="1"/>
  <c r="G66" i="7" s="1"/>
  <c r="F61" i="7"/>
  <c r="F66" i="7" s="1"/>
  <c r="H55" i="7"/>
  <c r="G22" i="7"/>
  <c r="J15" i="7"/>
  <c r="I22" i="7"/>
  <c r="I27" i="7" s="1"/>
  <c r="I65" i="7"/>
  <c r="J64" i="7"/>
  <c r="L6" i="7"/>
  <c r="M4" i="7"/>
  <c r="K56" i="12" l="1"/>
  <c r="L50" i="12"/>
  <c r="J61" i="12"/>
  <c r="J63" i="12"/>
  <c r="J64" i="12" s="1"/>
  <c r="J27" i="12"/>
  <c r="J29" i="12"/>
  <c r="J30" i="12" s="1"/>
  <c r="L14" i="12"/>
  <c r="K21" i="12"/>
  <c r="L26" i="12"/>
  <c r="M24" i="12"/>
  <c r="M41" i="12"/>
  <c r="L60" i="12"/>
  <c r="M59" i="12"/>
  <c r="O6" i="12"/>
  <c r="P4" i="12"/>
  <c r="K9" i="20"/>
  <c r="K13" i="20"/>
  <c r="K17" i="20" s="1"/>
  <c r="L11" i="20"/>
  <c r="H30" i="15"/>
  <c r="H27" i="15"/>
  <c r="J25" i="15"/>
  <c r="I26" i="15"/>
  <c r="G28" i="14"/>
  <c r="N4" i="13"/>
  <c r="L42" i="13"/>
  <c r="I23" i="14"/>
  <c r="I28" i="14" s="1"/>
  <c r="J16" i="14"/>
  <c r="M42" i="14"/>
  <c r="J61" i="14"/>
  <c r="P4" i="14"/>
  <c r="O8" i="14"/>
  <c r="I42" i="14"/>
  <c r="K26" i="14"/>
  <c r="K60" i="14"/>
  <c r="K61" i="14" s="1"/>
  <c r="J27" i="14"/>
  <c r="H30" i="14"/>
  <c r="H31" i="14" s="1"/>
  <c r="H51" i="14"/>
  <c r="G57" i="14"/>
  <c r="J28" i="13"/>
  <c r="I58" i="13"/>
  <c r="J52" i="13"/>
  <c r="L15" i="13"/>
  <c r="K21" i="13"/>
  <c r="G65" i="13"/>
  <c r="G66" i="13" s="1"/>
  <c r="G63" i="13"/>
  <c r="H63" i="13"/>
  <c r="H65" i="13"/>
  <c r="H66" i="13" s="1"/>
  <c r="L43" i="13"/>
  <c r="M42" i="13"/>
  <c r="I25" i="13"/>
  <c r="I26" i="13" s="1"/>
  <c r="J24" i="13"/>
  <c r="O4" i="13"/>
  <c r="N6" i="13"/>
  <c r="I62" i="13"/>
  <c r="J61" i="13"/>
  <c r="I63" i="15"/>
  <c r="I60" i="15"/>
  <c r="J59" i="15"/>
  <c r="K58" i="15"/>
  <c r="K37" i="15"/>
  <c r="J40" i="15"/>
  <c r="J62" i="15" s="1"/>
  <c r="J63" i="15" s="1"/>
  <c r="K49" i="15"/>
  <c r="J55" i="15"/>
  <c r="J60" i="15" s="1"/>
  <c r="M16" i="15"/>
  <c r="L22" i="15"/>
  <c r="J7" i="15"/>
  <c r="J29" i="15" s="1"/>
  <c r="K4" i="15"/>
  <c r="K46" i="16"/>
  <c r="L44" i="16"/>
  <c r="J55" i="16"/>
  <c r="J27" i="16"/>
  <c r="N16" i="16"/>
  <c r="M16" i="16"/>
  <c r="O4" i="16"/>
  <c r="N6" i="16"/>
  <c r="V63" i="16"/>
  <c r="J56" i="16"/>
  <c r="I56" i="16"/>
  <c r="I60" i="16" s="1"/>
  <c r="J28" i="16"/>
  <c r="H28" i="16"/>
  <c r="G28" i="16" s="1"/>
  <c r="L15" i="16"/>
  <c r="K24" i="16"/>
  <c r="K20" i="16"/>
  <c r="N4" i="7"/>
  <c r="M6" i="7"/>
  <c r="K25" i="7"/>
  <c r="J26" i="7"/>
  <c r="G27" i="7"/>
  <c r="G29" i="7"/>
  <c r="G30" i="7" s="1"/>
  <c r="I29" i="7"/>
  <c r="I30" i="7" s="1"/>
  <c r="H61" i="7"/>
  <c r="I55" i="7"/>
  <c r="K46" i="7"/>
  <c r="L43" i="7"/>
  <c r="J22" i="7"/>
  <c r="K15" i="7"/>
  <c r="G68" i="7"/>
  <c r="G69" i="7" s="1"/>
  <c r="J65" i="7"/>
  <c r="K64" i="7"/>
  <c r="Q4" i="12" l="1"/>
  <c r="P6" i="12"/>
  <c r="M26" i="12"/>
  <c r="N24" i="12"/>
  <c r="M60" i="12"/>
  <c r="N59" i="12"/>
  <c r="L56" i="12"/>
  <c r="M50" i="12"/>
  <c r="K61" i="12"/>
  <c r="K63" i="12"/>
  <c r="K64" i="12" s="1"/>
  <c r="K27" i="12"/>
  <c r="K29" i="12"/>
  <c r="K30" i="12" s="1"/>
  <c r="N41" i="12"/>
  <c r="L21" i="12"/>
  <c r="M14" i="12"/>
  <c r="L9" i="20"/>
  <c r="M11" i="20"/>
  <c r="L13" i="20"/>
  <c r="L17" i="20" s="1"/>
  <c r="I30" i="15"/>
  <c r="I27" i="15"/>
  <c r="J26" i="15"/>
  <c r="J27" i="15" s="1"/>
  <c r="K25" i="15"/>
  <c r="I30" i="14"/>
  <c r="I31" i="14" s="1"/>
  <c r="N42" i="14"/>
  <c r="K16" i="14"/>
  <c r="J23" i="14"/>
  <c r="G62" i="14"/>
  <c r="G64" i="14"/>
  <c r="G65" i="14" s="1"/>
  <c r="L60" i="14"/>
  <c r="K27" i="14"/>
  <c r="L26" i="14"/>
  <c r="I51" i="14"/>
  <c r="H57" i="14"/>
  <c r="Q4" i="14"/>
  <c r="P8" i="14"/>
  <c r="K28" i="13"/>
  <c r="J62" i="13"/>
  <c r="K61" i="13"/>
  <c r="L21" i="13"/>
  <c r="M15" i="13"/>
  <c r="M43" i="13"/>
  <c r="N42" i="13"/>
  <c r="K52" i="13"/>
  <c r="J58" i="13"/>
  <c r="O6" i="13"/>
  <c r="P4" i="13"/>
  <c r="I63" i="13"/>
  <c r="I65" i="13"/>
  <c r="I66" i="13" s="1"/>
  <c r="J25" i="13"/>
  <c r="J26" i="13" s="1"/>
  <c r="K24" i="13"/>
  <c r="J29" i="13"/>
  <c r="L37" i="15"/>
  <c r="K40" i="15"/>
  <c r="K59" i="15"/>
  <c r="L58" i="15"/>
  <c r="N16" i="15"/>
  <c r="M22" i="15"/>
  <c r="K7" i="15"/>
  <c r="K29" i="15" s="1"/>
  <c r="L4" i="15"/>
  <c r="L49" i="15"/>
  <c r="K55" i="15"/>
  <c r="K60" i="15" s="1"/>
  <c r="I67" i="16"/>
  <c r="I68" i="16" s="1"/>
  <c r="H68" i="16" s="1"/>
  <c r="G68" i="16" s="1"/>
  <c r="I65" i="16"/>
  <c r="L56" i="16"/>
  <c r="K56" i="16"/>
  <c r="P16" i="16"/>
  <c r="O16" i="16"/>
  <c r="J60" i="16"/>
  <c r="K55" i="16"/>
  <c r="K25" i="16"/>
  <c r="K27" i="16"/>
  <c r="K28" i="16" s="1"/>
  <c r="L46" i="16"/>
  <c r="M44" i="16"/>
  <c r="L24" i="16"/>
  <c r="L20" i="16"/>
  <c r="M15" i="16"/>
  <c r="P4" i="16"/>
  <c r="O6" i="16"/>
  <c r="L46" i="7"/>
  <c r="M43" i="7"/>
  <c r="J27" i="7"/>
  <c r="J29" i="7"/>
  <c r="J30" i="7" s="1"/>
  <c r="L15" i="7"/>
  <c r="K22" i="7"/>
  <c r="K65" i="7"/>
  <c r="L64" i="7"/>
  <c r="K26" i="7"/>
  <c r="L25" i="7"/>
  <c r="J55" i="7"/>
  <c r="I61" i="7"/>
  <c r="H66" i="7"/>
  <c r="H68" i="7"/>
  <c r="H69" i="7" s="1"/>
  <c r="N6" i="7"/>
  <c r="O4" i="7"/>
  <c r="M21" i="12" l="1"/>
  <c r="N14" i="12"/>
  <c r="L27" i="12"/>
  <c r="L29" i="12"/>
  <c r="L30" i="12" s="1"/>
  <c r="N50" i="12"/>
  <c r="M56" i="12"/>
  <c r="R4" i="12"/>
  <c r="Q6" i="12"/>
  <c r="N26" i="12"/>
  <c r="O24" i="12"/>
  <c r="O41" i="12"/>
  <c r="L61" i="12"/>
  <c r="L63" i="12"/>
  <c r="L64" i="12" s="1"/>
  <c r="N60" i="12"/>
  <c r="O59" i="12"/>
  <c r="M9" i="20"/>
  <c r="N11" i="20"/>
  <c r="M13" i="20"/>
  <c r="M17" i="20" s="1"/>
  <c r="K26" i="15"/>
  <c r="K27" i="15" s="1"/>
  <c r="L25" i="15"/>
  <c r="K30" i="15"/>
  <c r="J30" i="15"/>
  <c r="H62" i="14"/>
  <c r="H64" i="14"/>
  <c r="H65" i="14" s="1"/>
  <c r="J28" i="14"/>
  <c r="J30" i="14"/>
  <c r="J31" i="14" s="1"/>
  <c r="I57" i="14"/>
  <c r="J51" i="14"/>
  <c r="L16" i="14"/>
  <c r="K23" i="14"/>
  <c r="M60" i="14"/>
  <c r="M61" i="14" s="1"/>
  <c r="L27" i="14"/>
  <c r="M26" i="14"/>
  <c r="L61" i="14"/>
  <c r="P39" i="14"/>
  <c r="O42" i="14"/>
  <c r="R4" i="14"/>
  <c r="Q8" i="14"/>
  <c r="J63" i="13"/>
  <c r="J65" i="13"/>
  <c r="J66" i="13" s="1"/>
  <c r="K62" i="13"/>
  <c r="L61" i="13"/>
  <c r="K29" i="13"/>
  <c r="N15" i="13"/>
  <c r="M21" i="13"/>
  <c r="L52" i="13"/>
  <c r="K58" i="13"/>
  <c r="K25" i="13"/>
  <c r="K26" i="13" s="1"/>
  <c r="L24" i="13"/>
  <c r="O42" i="13"/>
  <c r="N43" i="13"/>
  <c r="Q4" i="13"/>
  <c r="P6" i="13"/>
  <c r="L28" i="13"/>
  <c r="M37" i="15"/>
  <c r="L40" i="15"/>
  <c r="O16" i="15"/>
  <c r="N22" i="15"/>
  <c r="L59" i="15"/>
  <c r="M58" i="15"/>
  <c r="L7" i="15"/>
  <c r="L29" i="15" s="1"/>
  <c r="M4" i="15"/>
  <c r="M49" i="15"/>
  <c r="L55" i="15"/>
  <c r="K62" i="15"/>
  <c r="K63" i="15" s="1"/>
  <c r="N56" i="16"/>
  <c r="M56" i="16"/>
  <c r="N15" i="16"/>
  <c r="M24" i="16"/>
  <c r="M20" i="16"/>
  <c r="L55" i="16"/>
  <c r="K60" i="16"/>
  <c r="L25" i="16"/>
  <c r="L27" i="16"/>
  <c r="L28" i="16" s="1"/>
  <c r="J65" i="16"/>
  <c r="J67" i="16"/>
  <c r="J68" i="16" s="1"/>
  <c r="P6" i="16"/>
  <c r="Q4" i="16"/>
  <c r="M46" i="16"/>
  <c r="N44" i="16"/>
  <c r="Q16" i="16"/>
  <c r="R16" i="16"/>
  <c r="J61" i="7"/>
  <c r="K55" i="7"/>
  <c r="P4" i="7"/>
  <c r="O6" i="7"/>
  <c r="M46" i="7"/>
  <c r="N43" i="7"/>
  <c r="L65" i="7"/>
  <c r="M64" i="7"/>
  <c r="K27" i="7"/>
  <c r="K29" i="7"/>
  <c r="K30" i="7" s="1"/>
  <c r="L26" i="7"/>
  <c r="M25" i="7"/>
  <c r="I66" i="7"/>
  <c r="I68" i="7"/>
  <c r="I69" i="7" s="1"/>
  <c r="M15" i="7"/>
  <c r="L22" i="7"/>
  <c r="O60" i="12" l="1"/>
  <c r="P59" i="12"/>
  <c r="N21" i="12"/>
  <c r="O14" i="12"/>
  <c r="P24" i="12"/>
  <c r="O26" i="12"/>
  <c r="S4" i="12"/>
  <c r="R6" i="12"/>
  <c r="M27" i="12"/>
  <c r="M29" i="12"/>
  <c r="M30" i="12" s="1"/>
  <c r="M61" i="12"/>
  <c r="M63" i="12"/>
  <c r="M64" i="12" s="1"/>
  <c r="P41" i="12"/>
  <c r="O50" i="12"/>
  <c r="N56" i="12"/>
  <c r="N9" i="20"/>
  <c r="O11" i="20"/>
  <c r="N13" i="20"/>
  <c r="N17" i="20" s="1"/>
  <c r="L26" i="15"/>
  <c r="L27" i="15" s="1"/>
  <c r="M25" i="15"/>
  <c r="M16" i="14"/>
  <c r="L23" i="14"/>
  <c r="K51" i="14"/>
  <c r="J57" i="14"/>
  <c r="I62" i="14"/>
  <c r="I64" i="14"/>
  <c r="I65" i="14" s="1"/>
  <c r="N60" i="14"/>
  <c r="M27" i="14"/>
  <c r="N26" i="14"/>
  <c r="R8" i="14"/>
  <c r="S4" i="14"/>
  <c r="Q39" i="14"/>
  <c r="P42" i="14"/>
  <c r="K28" i="14"/>
  <c r="K30" i="14"/>
  <c r="K31" i="14" s="1"/>
  <c r="L62" i="13"/>
  <c r="M61" i="13"/>
  <c r="O15" i="13"/>
  <c r="N21" i="13"/>
  <c r="O43" i="13"/>
  <c r="P42" i="13"/>
  <c r="L25" i="13"/>
  <c r="L26" i="13" s="1"/>
  <c r="M24" i="13"/>
  <c r="K63" i="13"/>
  <c r="K65" i="13"/>
  <c r="K66" i="13" s="1"/>
  <c r="L58" i="13"/>
  <c r="M52" i="13"/>
  <c r="R4" i="13"/>
  <c r="Q6" i="13"/>
  <c r="M28" i="13"/>
  <c r="M59" i="15"/>
  <c r="N58" i="15"/>
  <c r="N49" i="15"/>
  <c r="M55" i="15"/>
  <c r="P16" i="15"/>
  <c r="O22" i="15"/>
  <c r="M7" i="15"/>
  <c r="M29" i="15" s="1"/>
  <c r="N4" i="15"/>
  <c r="L62" i="15"/>
  <c r="L63" i="15" s="1"/>
  <c r="L60" i="15"/>
  <c r="M40" i="15"/>
  <c r="N37" i="15"/>
  <c r="M25" i="16"/>
  <c r="M27" i="16"/>
  <c r="M28" i="16" s="1"/>
  <c r="T16" i="16"/>
  <c r="U16" i="16" s="1"/>
  <c r="S16" i="16"/>
  <c r="M55" i="16"/>
  <c r="L60" i="16"/>
  <c r="N20" i="16"/>
  <c r="O15" i="16"/>
  <c r="N24" i="16"/>
  <c r="P56" i="16"/>
  <c r="O56" i="16"/>
  <c r="K65" i="16"/>
  <c r="K67" i="16"/>
  <c r="K68" i="16" s="1"/>
  <c r="N46" i="16"/>
  <c r="O44" i="16"/>
  <c r="R4" i="16"/>
  <c r="Q6" i="16"/>
  <c r="N64" i="7"/>
  <c r="M65" i="7"/>
  <c r="N46" i="7"/>
  <c r="O43" i="7"/>
  <c r="L27" i="7"/>
  <c r="L29" i="7"/>
  <c r="L30" i="7" s="1"/>
  <c r="M22" i="7"/>
  <c r="N15" i="7"/>
  <c r="J66" i="7"/>
  <c r="J68" i="7"/>
  <c r="J69" i="7" s="1"/>
  <c r="Q4" i="7"/>
  <c r="P6" i="7"/>
  <c r="L55" i="7"/>
  <c r="K61" i="7"/>
  <c r="M26" i="7"/>
  <c r="N25" i="7"/>
  <c r="Q41" i="12" l="1"/>
  <c r="P60" i="12"/>
  <c r="Q59" i="12"/>
  <c r="Q24" i="12"/>
  <c r="P26" i="12"/>
  <c r="O21" i="12"/>
  <c r="P14" i="12"/>
  <c r="N27" i="12"/>
  <c r="N29" i="12"/>
  <c r="N30" i="12" s="1"/>
  <c r="N61" i="12"/>
  <c r="N63" i="12"/>
  <c r="N64" i="12" s="1"/>
  <c r="P50" i="12"/>
  <c r="O56" i="12"/>
  <c r="T4" i="12"/>
  <c r="S6" i="12"/>
  <c r="O9" i="20"/>
  <c r="P11" i="20"/>
  <c r="O13" i="20"/>
  <c r="O17" i="20" s="1"/>
  <c r="N25" i="15"/>
  <c r="M26" i="15"/>
  <c r="M27" i="15" s="1"/>
  <c r="L30" i="15"/>
  <c r="N27" i="14"/>
  <c r="O26" i="14"/>
  <c r="O60" i="14"/>
  <c r="O61" i="14" s="1"/>
  <c r="J62" i="14"/>
  <c r="J64" i="14"/>
  <c r="J65" i="14" s="1"/>
  <c r="S8" i="14"/>
  <c r="T4" i="14"/>
  <c r="K57" i="14"/>
  <c r="L51" i="14"/>
  <c r="N61" i="14"/>
  <c r="L28" i="14"/>
  <c r="L30" i="14"/>
  <c r="L31" i="14" s="1"/>
  <c r="M23" i="14"/>
  <c r="N16" i="14"/>
  <c r="R39" i="14"/>
  <c r="Q42" i="14"/>
  <c r="N28" i="13"/>
  <c r="O21" i="13"/>
  <c r="P15" i="13"/>
  <c r="L29" i="13"/>
  <c r="M58" i="13"/>
  <c r="N52" i="13"/>
  <c r="L63" i="13"/>
  <c r="L65" i="13"/>
  <c r="L66" i="13" s="1"/>
  <c r="M29" i="13"/>
  <c r="S4" i="13"/>
  <c r="R6" i="13"/>
  <c r="M25" i="13"/>
  <c r="M26" i="13" s="1"/>
  <c r="N24" i="13"/>
  <c r="M62" i="13"/>
  <c r="N61" i="13"/>
  <c r="P43" i="13"/>
  <c r="Q42" i="13"/>
  <c r="N55" i="15"/>
  <c r="O49" i="15"/>
  <c r="O58" i="15"/>
  <c r="N59" i="15"/>
  <c r="N7" i="15"/>
  <c r="N29" i="15" s="1"/>
  <c r="O4" i="15"/>
  <c r="N40" i="15"/>
  <c r="N62" i="15" s="1"/>
  <c r="N63" i="15" s="1"/>
  <c r="O37" i="15"/>
  <c r="M62" i="15"/>
  <c r="M63" i="15" s="1"/>
  <c r="P22" i="15"/>
  <c r="Q16" i="15"/>
  <c r="M60" i="15"/>
  <c r="N25" i="16"/>
  <c r="N27" i="16"/>
  <c r="N28" i="16" s="1"/>
  <c r="N55" i="16"/>
  <c r="M60" i="16"/>
  <c r="L65" i="16"/>
  <c r="L67" i="16"/>
  <c r="L68" i="16" s="1"/>
  <c r="R56" i="16"/>
  <c r="Q56" i="16"/>
  <c r="R6" i="16"/>
  <c r="S4" i="16"/>
  <c r="O46" i="16"/>
  <c r="P44" i="16"/>
  <c r="O24" i="16"/>
  <c r="O20" i="16"/>
  <c r="P15" i="16"/>
  <c r="O46" i="7"/>
  <c r="P43" i="7"/>
  <c r="N26" i="7"/>
  <c r="O25" i="7"/>
  <c r="K66" i="7"/>
  <c r="K68" i="7"/>
  <c r="K69" i="7" s="1"/>
  <c r="O15" i="7"/>
  <c r="N22" i="7"/>
  <c r="O64" i="7"/>
  <c r="N65" i="7"/>
  <c r="M55" i="7"/>
  <c r="L61" i="7"/>
  <c r="M27" i="7"/>
  <c r="M29" i="7"/>
  <c r="M30" i="7" s="1"/>
  <c r="R4" i="7"/>
  <c r="Q6" i="7"/>
  <c r="Q14" i="12" l="1"/>
  <c r="P21" i="12"/>
  <c r="P56" i="12"/>
  <c r="Q50" i="12"/>
  <c r="R59" i="12"/>
  <c r="Q60" i="12"/>
  <c r="O61" i="12"/>
  <c r="O63" i="12"/>
  <c r="O64" i="12" s="1"/>
  <c r="O27" i="12"/>
  <c r="O29" i="12"/>
  <c r="O30" i="12" s="1"/>
  <c r="R24" i="12"/>
  <c r="Q26" i="12"/>
  <c r="R41" i="12"/>
  <c r="U4" i="12"/>
  <c r="U6" i="12" s="1"/>
  <c r="T6" i="12"/>
  <c r="P9" i="20"/>
  <c r="P13" i="20"/>
  <c r="P17" i="20" s="1"/>
  <c r="Q11" i="20"/>
  <c r="N26" i="15"/>
  <c r="N27" i="15" s="1"/>
  <c r="O25" i="15"/>
  <c r="M30" i="15"/>
  <c r="U4" i="14"/>
  <c r="U8" i="14" s="1"/>
  <c r="T8" i="14"/>
  <c r="M51" i="14"/>
  <c r="L57" i="14"/>
  <c r="O27" i="14"/>
  <c r="P26" i="14"/>
  <c r="P60" i="14"/>
  <c r="P61" i="14" s="1"/>
  <c r="N23" i="14"/>
  <c r="O16" i="14"/>
  <c r="K62" i="14"/>
  <c r="K64" i="14"/>
  <c r="K65" i="14" s="1"/>
  <c r="S39" i="14"/>
  <c r="R42" i="14"/>
  <c r="M28" i="14"/>
  <c r="M30" i="14"/>
  <c r="M31" i="14" s="1"/>
  <c r="Q15" i="13"/>
  <c r="P21" i="13"/>
  <c r="R42" i="13"/>
  <c r="Q43" i="13"/>
  <c r="N25" i="13"/>
  <c r="N26" i="13" s="1"/>
  <c r="O24" i="13"/>
  <c r="T4" i="13"/>
  <c r="S6" i="13"/>
  <c r="O28" i="13"/>
  <c r="N62" i="13"/>
  <c r="O61" i="13"/>
  <c r="O52" i="13"/>
  <c r="N58" i="13"/>
  <c r="M63" i="13"/>
  <c r="M65" i="13"/>
  <c r="M66" i="13" s="1"/>
  <c r="P37" i="15"/>
  <c r="O40" i="15"/>
  <c r="O59" i="15"/>
  <c r="P58" i="15"/>
  <c r="O55" i="15"/>
  <c r="O60" i="15" s="1"/>
  <c r="P49" i="15"/>
  <c r="N60" i="15"/>
  <c r="Q22" i="15"/>
  <c r="R16" i="15"/>
  <c r="O7" i="15"/>
  <c r="O29" i="15" s="1"/>
  <c r="P4" i="15"/>
  <c r="P46" i="16"/>
  <c r="Q44" i="16"/>
  <c r="M65" i="16"/>
  <c r="M67" i="16"/>
  <c r="M68" i="16" s="1"/>
  <c r="Q15" i="16"/>
  <c r="P20" i="16"/>
  <c r="P24" i="16"/>
  <c r="S6" i="16"/>
  <c r="T4" i="16"/>
  <c r="N60" i="16"/>
  <c r="O55" i="16"/>
  <c r="O25" i="16"/>
  <c r="O27" i="16"/>
  <c r="O28" i="16" s="1"/>
  <c r="T56" i="16"/>
  <c r="U56" i="16" s="1"/>
  <c r="S56" i="16"/>
  <c r="L66" i="7"/>
  <c r="L68" i="7"/>
  <c r="L69" i="7" s="1"/>
  <c r="P25" i="7"/>
  <c r="O26" i="7"/>
  <c r="N55" i="7"/>
  <c r="M61" i="7"/>
  <c r="R6" i="7"/>
  <c r="S4" i="7"/>
  <c r="O65" i="7"/>
  <c r="P64" i="7"/>
  <c r="P46" i="7"/>
  <c r="Q43" i="7"/>
  <c r="N27" i="7"/>
  <c r="N29" i="7"/>
  <c r="N30" i="7" s="1"/>
  <c r="O22" i="7"/>
  <c r="P15" i="7"/>
  <c r="Q56" i="12" l="1"/>
  <c r="R50" i="12"/>
  <c r="R26" i="12"/>
  <c r="S24" i="12"/>
  <c r="P61" i="12"/>
  <c r="P63" i="12"/>
  <c r="P64" i="12" s="1"/>
  <c r="P27" i="12"/>
  <c r="P29" i="12"/>
  <c r="P30" i="12" s="1"/>
  <c r="S41" i="12"/>
  <c r="R60" i="12"/>
  <c r="S59" i="12"/>
  <c r="R14" i="12"/>
  <c r="Q21" i="12"/>
  <c r="Q9" i="20"/>
  <c r="R11" i="20"/>
  <c r="Q13" i="20"/>
  <c r="Q17" i="20" s="1"/>
  <c r="O26" i="15"/>
  <c r="O27" i="15" s="1"/>
  <c r="P25" i="15"/>
  <c r="N30" i="15"/>
  <c r="T39" i="14"/>
  <c r="S42" i="14"/>
  <c r="L62" i="14"/>
  <c r="L64" i="14"/>
  <c r="L65" i="14" s="1"/>
  <c r="N51" i="14"/>
  <c r="M57" i="14"/>
  <c r="O23" i="14"/>
  <c r="P16" i="14"/>
  <c r="N28" i="14"/>
  <c r="N30" i="14"/>
  <c r="N31" i="14" s="1"/>
  <c r="P27" i="14"/>
  <c r="Q26" i="14"/>
  <c r="Q60" i="14"/>
  <c r="Q61" i="14" s="1"/>
  <c r="O62" i="13"/>
  <c r="P61" i="13"/>
  <c r="O25" i="13"/>
  <c r="O26" i="13" s="1"/>
  <c r="P24" i="13"/>
  <c r="R43" i="13"/>
  <c r="S42" i="13"/>
  <c r="P28" i="13"/>
  <c r="N63" i="13"/>
  <c r="N65" i="13"/>
  <c r="N66" i="13" s="1"/>
  <c r="T6" i="13"/>
  <c r="U4" i="13"/>
  <c r="U6" i="13" s="1"/>
  <c r="R15" i="13"/>
  <c r="Q21" i="13"/>
  <c r="O58" i="13"/>
  <c r="P52" i="13"/>
  <c r="N29" i="13"/>
  <c r="Q4" i="15"/>
  <c r="P7" i="15"/>
  <c r="P29" i="15" s="1"/>
  <c r="P59" i="15"/>
  <c r="Q58" i="15"/>
  <c r="S16" i="15"/>
  <c r="R22" i="15"/>
  <c r="O62" i="15"/>
  <c r="O63" i="15" s="1"/>
  <c r="Q37" i="15"/>
  <c r="P40" i="15"/>
  <c r="P55" i="15"/>
  <c r="P60" i="15" s="1"/>
  <c r="Q49" i="15"/>
  <c r="Q20" i="16"/>
  <c r="R15" i="16"/>
  <c r="Q24" i="16"/>
  <c r="O60" i="16"/>
  <c r="P55" i="16"/>
  <c r="N65" i="16"/>
  <c r="N67" i="16"/>
  <c r="N68" i="16" s="1"/>
  <c r="O68" i="16" s="1"/>
  <c r="P68" i="16" s="1"/>
  <c r="Q68" i="16" s="1"/>
  <c r="R68" i="16" s="1"/>
  <c r="S68" i="16" s="1"/>
  <c r="T68" i="16" s="1"/>
  <c r="U68" i="16" s="1"/>
  <c r="T6" i="16"/>
  <c r="U4" i="16"/>
  <c r="U6" i="16" s="1"/>
  <c r="Q46" i="16"/>
  <c r="R44" i="16"/>
  <c r="P25" i="16"/>
  <c r="P27" i="16"/>
  <c r="P28" i="16" s="1"/>
  <c r="M66" i="7"/>
  <c r="M68" i="7"/>
  <c r="M69" i="7" s="1"/>
  <c r="R43" i="7"/>
  <c r="Q46" i="7"/>
  <c r="O55" i="7"/>
  <c r="N61" i="7"/>
  <c r="P65" i="7"/>
  <c r="Q64" i="7"/>
  <c r="P26" i="7"/>
  <c r="Q25" i="7"/>
  <c r="P22" i="7"/>
  <c r="Q15" i="7"/>
  <c r="O27" i="7"/>
  <c r="O29" i="7"/>
  <c r="O30" i="7" s="1"/>
  <c r="T4" i="7"/>
  <c r="S6" i="7"/>
  <c r="S14" i="12" l="1"/>
  <c r="R21" i="12"/>
  <c r="S26" i="12"/>
  <c r="T24" i="12"/>
  <c r="U41" i="12"/>
  <c r="T41" i="12"/>
  <c r="S60" i="12"/>
  <c r="T59" i="12"/>
  <c r="R56" i="12"/>
  <c r="S50" i="12"/>
  <c r="Q61" i="12"/>
  <c r="Q63" i="12"/>
  <c r="Q64" i="12" s="1"/>
  <c r="Q27" i="12"/>
  <c r="Q29" i="12"/>
  <c r="Q30" i="12" s="1"/>
  <c r="R9" i="20"/>
  <c r="S9" i="20"/>
  <c r="R13" i="20"/>
  <c r="R17" i="20" s="1"/>
  <c r="S11" i="20"/>
  <c r="S13" i="20" s="1"/>
  <c r="Q25" i="15"/>
  <c r="P26" i="15"/>
  <c r="P27" i="15" s="1"/>
  <c r="O30" i="15"/>
  <c r="O28" i="14"/>
  <c r="O30" i="14"/>
  <c r="O31" i="14" s="1"/>
  <c r="P23" i="14"/>
  <c r="Q16" i="14"/>
  <c r="M62" i="14"/>
  <c r="M64" i="14"/>
  <c r="M65" i="14" s="1"/>
  <c r="O51" i="14"/>
  <c r="N57" i="14"/>
  <c r="R60" i="14"/>
  <c r="R61" i="14" s="1"/>
  <c r="R26" i="14"/>
  <c r="Q27" i="14"/>
  <c r="U39" i="14"/>
  <c r="U42" i="14" s="1"/>
  <c r="T42" i="14"/>
  <c r="S43" i="13"/>
  <c r="T42" i="13"/>
  <c r="P58" i="13"/>
  <c r="Q52" i="13"/>
  <c r="P29" i="13"/>
  <c r="O29" i="13"/>
  <c r="O63" i="13"/>
  <c r="O65" i="13"/>
  <c r="O66" i="13" s="1"/>
  <c r="P62" i="13"/>
  <c r="Q61" i="13"/>
  <c r="S15" i="13"/>
  <c r="R21" i="13"/>
  <c r="P25" i="13"/>
  <c r="P26" i="13" s="1"/>
  <c r="Q24" i="13"/>
  <c r="Q28" i="13"/>
  <c r="T16" i="15"/>
  <c r="S22" i="15"/>
  <c r="R49" i="15"/>
  <c r="Q55" i="15"/>
  <c r="Q60" i="15" s="1"/>
  <c r="Q59" i="15"/>
  <c r="R58" i="15"/>
  <c r="P62" i="15"/>
  <c r="P63" i="15" s="1"/>
  <c r="R37" i="15"/>
  <c r="Q40" i="15"/>
  <c r="R4" i="15"/>
  <c r="Q7" i="15"/>
  <c r="Q29" i="15" s="1"/>
  <c r="P60" i="16"/>
  <c r="Q55" i="16"/>
  <c r="R46" i="16"/>
  <c r="S44" i="16"/>
  <c r="S15" i="16"/>
  <c r="R24" i="16"/>
  <c r="R20" i="16"/>
  <c r="O65" i="16"/>
  <c r="O67" i="16"/>
  <c r="G69" i="16"/>
  <c r="G70" i="16"/>
  <c r="Q25" i="16"/>
  <c r="Q27" i="16"/>
  <c r="Q28" i="16" s="1"/>
  <c r="N66" i="7"/>
  <c r="N68" i="7"/>
  <c r="N69" i="7" s="1"/>
  <c r="Q65" i="7"/>
  <c r="R64" i="7"/>
  <c r="T6" i="7"/>
  <c r="U4" i="7"/>
  <c r="U6" i="7" s="1"/>
  <c r="O61" i="7"/>
  <c r="P55" i="7"/>
  <c r="R15" i="7"/>
  <c r="Q22" i="7"/>
  <c r="P27" i="7"/>
  <c r="P29" i="7"/>
  <c r="P30" i="7" s="1"/>
  <c r="R46" i="7"/>
  <c r="S43" i="7"/>
  <c r="R25" i="7"/>
  <c r="Q26" i="7"/>
  <c r="T26" i="12" l="1"/>
  <c r="U24" i="12"/>
  <c r="T60" i="12"/>
  <c r="U59" i="12"/>
  <c r="S56" i="12"/>
  <c r="T50" i="12"/>
  <c r="R61" i="12"/>
  <c r="R63" i="12"/>
  <c r="R64" i="12" s="1"/>
  <c r="R27" i="12"/>
  <c r="R29" i="12"/>
  <c r="R30" i="12" s="1"/>
  <c r="T14" i="12"/>
  <c r="S21" i="12"/>
  <c r="S15" i="20"/>
  <c r="S26" i="20" s="1"/>
  <c r="R25" i="15"/>
  <c r="Q26" i="15"/>
  <c r="Q27" i="15" s="1"/>
  <c r="P30" i="15"/>
  <c r="Q23" i="14"/>
  <c r="R16" i="14"/>
  <c r="S26" i="14"/>
  <c r="S60" i="14"/>
  <c r="S61" i="14" s="1"/>
  <c r="R27" i="14"/>
  <c r="P28" i="14"/>
  <c r="P30" i="14"/>
  <c r="P31" i="14" s="1"/>
  <c r="N62" i="14"/>
  <c r="N64" i="14"/>
  <c r="N65" i="14" s="1"/>
  <c r="P51" i="14"/>
  <c r="O57" i="14"/>
  <c r="T15" i="13"/>
  <c r="S21" i="13"/>
  <c r="Q58" i="13"/>
  <c r="R52" i="13"/>
  <c r="Q29" i="13"/>
  <c r="Q62" i="13"/>
  <c r="R61" i="13"/>
  <c r="P63" i="13"/>
  <c r="P65" i="13"/>
  <c r="P66" i="13" s="1"/>
  <c r="Q25" i="13"/>
  <c r="Q26" i="13" s="1"/>
  <c r="R24" i="13"/>
  <c r="T43" i="13"/>
  <c r="U42" i="13"/>
  <c r="U43" i="13" s="1"/>
  <c r="R28" i="13"/>
  <c r="R59" i="15"/>
  <c r="S58" i="15"/>
  <c r="Q62" i="15"/>
  <c r="Q63" i="15" s="1"/>
  <c r="R7" i="15"/>
  <c r="R29" i="15" s="1"/>
  <c r="S4" i="15"/>
  <c r="S49" i="15"/>
  <c r="R55" i="15"/>
  <c r="R60" i="15" s="1"/>
  <c r="S37" i="15"/>
  <c r="R40" i="15"/>
  <c r="R62" i="15" s="1"/>
  <c r="R63" i="15" s="1"/>
  <c r="U16" i="15"/>
  <c r="U22" i="15" s="1"/>
  <c r="T22" i="15"/>
  <c r="T15" i="16"/>
  <c r="S24" i="16"/>
  <c r="S20" i="16"/>
  <c r="Q60" i="16"/>
  <c r="R55" i="16"/>
  <c r="P65" i="16"/>
  <c r="P67" i="16"/>
  <c r="S46" i="16"/>
  <c r="T44" i="16"/>
  <c r="R25" i="16"/>
  <c r="R27" i="16"/>
  <c r="R28" i="16" s="1"/>
  <c r="O66" i="7"/>
  <c r="O68" i="7"/>
  <c r="O69" i="7" s="1"/>
  <c r="S46" i="7"/>
  <c r="T43" i="7"/>
  <c r="R65" i="7"/>
  <c r="S64" i="7"/>
  <c r="Q27" i="7"/>
  <c r="Q29" i="7"/>
  <c r="Q30" i="7" s="1"/>
  <c r="R22" i="7"/>
  <c r="S15" i="7"/>
  <c r="R26" i="7"/>
  <c r="S25" i="7"/>
  <c r="P61" i="7"/>
  <c r="Q55" i="7"/>
  <c r="T56" i="12" l="1"/>
  <c r="U50" i="12"/>
  <c r="U56" i="12" s="1"/>
  <c r="S27" i="12"/>
  <c r="S29" i="12"/>
  <c r="S30" i="12" s="1"/>
  <c r="S61" i="12"/>
  <c r="S63" i="12"/>
  <c r="S64" i="12" s="1"/>
  <c r="T21" i="12"/>
  <c r="U14" i="12"/>
  <c r="U21" i="12" s="1"/>
  <c r="U60" i="12"/>
  <c r="V59" i="12"/>
  <c r="U26" i="12"/>
  <c r="V24" i="12"/>
  <c r="D28" i="20"/>
  <c r="S17" i="20"/>
  <c r="R26" i="15"/>
  <c r="R27" i="15" s="1"/>
  <c r="S25" i="15"/>
  <c r="Q30" i="15"/>
  <c r="T60" i="14"/>
  <c r="T61" i="14" s="1"/>
  <c r="S27" i="14"/>
  <c r="T26" i="14"/>
  <c r="Q51" i="14"/>
  <c r="P57" i="14"/>
  <c r="S16" i="14"/>
  <c r="R23" i="14"/>
  <c r="O62" i="14"/>
  <c r="O64" i="14"/>
  <c r="O65" i="14" s="1"/>
  <c r="Q28" i="14"/>
  <c r="Q30" i="14"/>
  <c r="Q31" i="14" s="1"/>
  <c r="T21" i="13"/>
  <c r="U15" i="13"/>
  <c r="U21" i="13" s="1"/>
  <c r="S52" i="13"/>
  <c r="R58" i="13"/>
  <c r="Q63" i="13"/>
  <c r="Q65" i="13"/>
  <c r="Q66" i="13" s="1"/>
  <c r="R29" i="13"/>
  <c r="R62" i="13"/>
  <c r="S61" i="13"/>
  <c r="R25" i="13"/>
  <c r="R26" i="13" s="1"/>
  <c r="S24" i="13"/>
  <c r="S28" i="13"/>
  <c r="S7" i="15"/>
  <c r="S29" i="15" s="1"/>
  <c r="T4" i="15"/>
  <c r="T37" i="15"/>
  <c r="S40" i="15"/>
  <c r="S59" i="15"/>
  <c r="T58" i="15"/>
  <c r="T49" i="15"/>
  <c r="S55" i="15"/>
  <c r="S60" i="15" s="1"/>
  <c r="T46" i="16"/>
  <c r="U44" i="16"/>
  <c r="U46" i="16" s="1"/>
  <c r="R60" i="16"/>
  <c r="S55" i="16"/>
  <c r="Q65" i="16"/>
  <c r="Q67" i="16"/>
  <c r="S25" i="16"/>
  <c r="S27" i="16"/>
  <c r="S28" i="16" s="1"/>
  <c r="T24" i="16"/>
  <c r="T20" i="16"/>
  <c r="U15" i="16"/>
  <c r="P66" i="7"/>
  <c r="P68" i="7"/>
  <c r="P69" i="7" s="1"/>
  <c r="T25" i="7"/>
  <c r="S26" i="7"/>
  <c r="T15" i="7"/>
  <c r="S22" i="7"/>
  <c r="R27" i="7"/>
  <c r="R29" i="7"/>
  <c r="R30" i="7" s="1"/>
  <c r="T46" i="7"/>
  <c r="U43" i="7"/>
  <c r="U46" i="7" s="1"/>
  <c r="R55" i="7"/>
  <c r="Q61" i="7"/>
  <c r="S65" i="7"/>
  <c r="T64" i="7"/>
  <c r="U27" i="12" l="1"/>
  <c r="U29" i="12"/>
  <c r="U30" i="12" s="1"/>
  <c r="U61" i="12"/>
  <c r="U63" i="12"/>
  <c r="U64" i="12" s="1"/>
  <c r="T27" i="12"/>
  <c r="T29" i="12"/>
  <c r="T30" i="12" s="1"/>
  <c r="T61" i="12"/>
  <c r="T63" i="12"/>
  <c r="T64" i="12" s="1"/>
  <c r="D23" i="20"/>
  <c r="D22" i="20"/>
  <c r="T25" i="15"/>
  <c r="S26" i="15"/>
  <c r="S27" i="15" s="1"/>
  <c r="R30" i="15"/>
  <c r="R28" i="14"/>
  <c r="R30" i="14"/>
  <c r="R31" i="14" s="1"/>
  <c r="T16" i="14"/>
  <c r="S23" i="14"/>
  <c r="P62" i="14"/>
  <c r="P64" i="14"/>
  <c r="P65" i="14" s="1"/>
  <c r="Q57" i="14"/>
  <c r="R51" i="14"/>
  <c r="U60" i="14"/>
  <c r="T27" i="14"/>
  <c r="U26" i="14"/>
  <c r="S25" i="13"/>
  <c r="S26" i="13" s="1"/>
  <c r="T24" i="13"/>
  <c r="R63" i="13"/>
  <c r="R65" i="13"/>
  <c r="R66" i="13" s="1"/>
  <c r="T52" i="13"/>
  <c r="S58" i="13"/>
  <c r="S62" i="13"/>
  <c r="T61" i="13"/>
  <c r="U28" i="13"/>
  <c r="T28" i="13"/>
  <c r="U49" i="15"/>
  <c r="U55" i="15" s="1"/>
  <c r="T55" i="15"/>
  <c r="T59" i="15"/>
  <c r="U58" i="15"/>
  <c r="S62" i="15"/>
  <c r="S63" i="15" s="1"/>
  <c r="U37" i="15"/>
  <c r="U40" i="15" s="1"/>
  <c r="U62" i="15" s="1"/>
  <c r="T40" i="15"/>
  <c r="T7" i="15"/>
  <c r="T29" i="15" s="1"/>
  <c r="U4" i="15"/>
  <c r="U7" i="15" s="1"/>
  <c r="U29" i="15" s="1"/>
  <c r="U24" i="16"/>
  <c r="U20" i="16"/>
  <c r="T55" i="16"/>
  <c r="S60" i="16"/>
  <c r="T25" i="16"/>
  <c r="T27" i="16"/>
  <c r="T28" i="16" s="1"/>
  <c r="R65" i="16"/>
  <c r="R67" i="16"/>
  <c r="T65" i="7"/>
  <c r="U64" i="7"/>
  <c r="S27" i="7"/>
  <c r="S29" i="7"/>
  <c r="S30" i="7" s="1"/>
  <c r="Q66" i="7"/>
  <c r="Q68" i="7"/>
  <c r="Q69" i="7" s="1"/>
  <c r="U15" i="7"/>
  <c r="U22" i="7" s="1"/>
  <c r="T22" i="7"/>
  <c r="S55" i="7"/>
  <c r="R61" i="7"/>
  <c r="T26" i="7"/>
  <c r="U25" i="7"/>
  <c r="G65" i="12" l="1"/>
  <c r="G66" i="12"/>
  <c r="G32" i="12"/>
  <c r="G31" i="12"/>
  <c r="U25" i="15"/>
  <c r="T26" i="15"/>
  <c r="T27" i="15" s="1"/>
  <c r="S30" i="15"/>
  <c r="Q62" i="14"/>
  <c r="Q64" i="14"/>
  <c r="Q65" i="14" s="1"/>
  <c r="U16" i="14"/>
  <c r="U23" i="14" s="1"/>
  <c r="T23" i="14"/>
  <c r="S28" i="14"/>
  <c r="S30" i="14"/>
  <c r="S31" i="14" s="1"/>
  <c r="U27" i="14"/>
  <c r="V26" i="14"/>
  <c r="S51" i="14"/>
  <c r="R57" i="14"/>
  <c r="U61" i="14"/>
  <c r="V60" i="14"/>
  <c r="S29" i="13"/>
  <c r="T58" i="13"/>
  <c r="U52" i="13"/>
  <c r="U58" i="13" s="1"/>
  <c r="T62" i="13"/>
  <c r="U61" i="13"/>
  <c r="S63" i="13"/>
  <c r="S65" i="13"/>
  <c r="S66" i="13" s="1"/>
  <c r="T29" i="13"/>
  <c r="T25" i="13"/>
  <c r="T26" i="13" s="1"/>
  <c r="U24" i="13"/>
  <c r="U59" i="15"/>
  <c r="U63" i="15" s="1"/>
  <c r="V58" i="15"/>
  <c r="T60" i="15"/>
  <c r="T62" i="15"/>
  <c r="T63" i="15" s="1"/>
  <c r="U60" i="15"/>
  <c r="U55" i="16"/>
  <c r="U60" i="16" s="1"/>
  <c r="T60" i="16"/>
  <c r="S65" i="16"/>
  <c r="S67" i="16"/>
  <c r="U25" i="16"/>
  <c r="U27" i="16"/>
  <c r="U28" i="16" s="1"/>
  <c r="R66" i="7"/>
  <c r="R68" i="7"/>
  <c r="R69" i="7" s="1"/>
  <c r="U65" i="7"/>
  <c r="V64" i="7"/>
  <c r="T55" i="7"/>
  <c r="S61" i="7"/>
  <c r="T27" i="7"/>
  <c r="T29" i="7"/>
  <c r="T30" i="7" s="1"/>
  <c r="U29" i="7"/>
  <c r="U26" i="7"/>
  <c r="U27" i="7" s="1"/>
  <c r="V25" i="7"/>
  <c r="T30" i="15" l="1"/>
  <c r="U26" i="15"/>
  <c r="V25" i="15"/>
  <c r="T28" i="14"/>
  <c r="T30" i="14"/>
  <c r="T31" i="14" s="1"/>
  <c r="U28" i="14"/>
  <c r="U30" i="14"/>
  <c r="U31" i="14" s="1"/>
  <c r="R62" i="14"/>
  <c r="R64" i="14"/>
  <c r="R65" i="14" s="1"/>
  <c r="S57" i="14"/>
  <c r="T51" i="14"/>
  <c r="U62" i="13"/>
  <c r="U63" i="13" s="1"/>
  <c r="V61" i="13"/>
  <c r="U25" i="13"/>
  <c r="V24" i="13"/>
  <c r="U65" i="13"/>
  <c r="U66" i="13" s="1"/>
  <c r="T63" i="13"/>
  <c r="T65" i="13"/>
  <c r="T66" i="13" s="1"/>
  <c r="G65" i="15"/>
  <c r="G64" i="15"/>
  <c r="G30" i="16"/>
  <c r="G29" i="16"/>
  <c r="T65" i="16"/>
  <c r="T67" i="16"/>
  <c r="U65" i="16"/>
  <c r="U67" i="16"/>
  <c r="S66" i="7"/>
  <c r="S68" i="7"/>
  <c r="S69" i="7" s="1"/>
  <c r="U55" i="7"/>
  <c r="U61" i="7" s="1"/>
  <c r="T61" i="7"/>
  <c r="U30" i="7"/>
  <c r="U27" i="15" l="1"/>
  <c r="U30" i="15"/>
  <c r="G32" i="15"/>
  <c r="G31" i="15"/>
  <c r="U51" i="14"/>
  <c r="U57" i="14" s="1"/>
  <c r="T57" i="14"/>
  <c r="S62" i="14"/>
  <c r="S64" i="14"/>
  <c r="S65" i="14" s="1"/>
  <c r="G33" i="14"/>
  <c r="G32" i="14"/>
  <c r="G68" i="13"/>
  <c r="G67" i="13"/>
  <c r="U26" i="13"/>
  <c r="U29" i="13"/>
  <c r="U66" i="7"/>
  <c r="U68" i="7"/>
  <c r="U69" i="7" s="1"/>
  <c r="G32" i="7"/>
  <c r="G31" i="7"/>
  <c r="T66" i="7"/>
  <c r="T68" i="7"/>
  <c r="T69" i="7" s="1"/>
  <c r="T62" i="14" l="1"/>
  <c r="T64" i="14"/>
  <c r="T65" i="14" s="1"/>
  <c r="U62" i="14"/>
  <c r="U64" i="14"/>
  <c r="U65" i="14" s="1"/>
  <c r="G30" i="13"/>
  <c r="G31" i="13"/>
  <c r="G70" i="7"/>
  <c r="G71" i="7"/>
  <c r="G66" i="14" l="1"/>
  <c r="G67" i="14"/>
  <c r="H63" i="3"/>
  <c r="I63" i="3" s="1"/>
  <c r="J63" i="3" s="1"/>
  <c r="K63" i="3" s="1"/>
  <c r="L63" i="3" s="1"/>
  <c r="M63" i="3" s="1"/>
  <c r="N63" i="3" s="1"/>
  <c r="O63" i="3" s="1"/>
  <c r="P63" i="3" s="1"/>
  <c r="Q63" i="3" s="1"/>
  <c r="R63" i="3" s="1"/>
  <c r="S63" i="3" s="1"/>
  <c r="T63" i="3" s="1"/>
  <c r="U63" i="3" s="1"/>
  <c r="G63" i="3"/>
  <c r="F64" i="3"/>
  <c r="F58" i="3"/>
  <c r="H51" i="3"/>
  <c r="H50" i="3"/>
  <c r="D50" i="3"/>
  <c r="I45" i="3"/>
  <c r="E45" i="3"/>
  <c r="J4" i="3"/>
  <c r="I4" i="3" s="1"/>
  <c r="H4" i="3" s="1"/>
  <c r="H10" i="3"/>
  <c r="G10" i="3"/>
  <c r="F52" i="5"/>
  <c r="F15" i="5"/>
  <c r="G46" i="6" l="1"/>
  <c r="F46" i="6"/>
  <c r="H40" i="6"/>
  <c r="I39" i="6"/>
  <c r="H39" i="6"/>
  <c r="F16" i="6"/>
  <c r="G20" i="6"/>
  <c r="H20" i="6" s="1"/>
  <c r="I20" i="6" s="1"/>
  <c r="J20" i="6" s="1"/>
  <c r="K20" i="6" s="1"/>
  <c r="L20" i="6" s="1"/>
  <c r="M20" i="6" s="1"/>
  <c r="N20" i="6" s="1"/>
  <c r="O20" i="6" s="1"/>
  <c r="P20" i="6" s="1"/>
  <c r="Q20" i="6" s="1"/>
  <c r="R20" i="6" s="1"/>
  <c r="S20" i="6" s="1"/>
  <c r="T20" i="6" s="1"/>
  <c r="U20" i="6" s="1"/>
  <c r="F17" i="6"/>
  <c r="H5" i="6"/>
  <c r="I5" i="6"/>
  <c r="H61" i="6"/>
  <c r="H60" i="6"/>
  <c r="D60" i="6"/>
  <c r="F60" i="6" s="1"/>
  <c r="F61" i="6" s="1"/>
  <c r="D59" i="6"/>
  <c r="D58" i="6"/>
  <c r="D57" i="6"/>
  <c r="F56" i="6"/>
  <c r="K55" i="6"/>
  <c r="L55" i="6" s="1"/>
  <c r="M55" i="6" s="1"/>
  <c r="N55" i="6" s="1"/>
  <c r="O55" i="6" s="1"/>
  <c r="P55" i="6" s="1"/>
  <c r="Q55" i="6" s="1"/>
  <c r="R55" i="6" s="1"/>
  <c r="S55" i="6" s="1"/>
  <c r="T55" i="6" s="1"/>
  <c r="U55" i="6" s="1"/>
  <c r="J55" i="6"/>
  <c r="I55" i="6"/>
  <c r="H55" i="6"/>
  <c r="G55" i="6"/>
  <c r="F54" i="6"/>
  <c r="I54" i="6" s="1"/>
  <c r="F52" i="6"/>
  <c r="G52" i="6" s="1"/>
  <c r="H52" i="6" s="1"/>
  <c r="I52" i="6" s="1"/>
  <c r="J52" i="6" s="1"/>
  <c r="K52" i="6" s="1"/>
  <c r="L52" i="6" s="1"/>
  <c r="M52" i="6" s="1"/>
  <c r="N52" i="6" s="1"/>
  <c r="O52" i="6" s="1"/>
  <c r="P52" i="6" s="1"/>
  <c r="Q52" i="6" s="1"/>
  <c r="R52" i="6" s="1"/>
  <c r="S52" i="6" s="1"/>
  <c r="T52" i="6" s="1"/>
  <c r="U52" i="6" s="1"/>
  <c r="E50" i="6"/>
  <c r="F50" i="6" s="1"/>
  <c r="D50" i="6"/>
  <c r="F49" i="6"/>
  <c r="E49" i="6"/>
  <c r="D49" i="6"/>
  <c r="T48" i="6"/>
  <c r="S48" i="6"/>
  <c r="Q48" i="6"/>
  <c r="N48" i="6"/>
  <c r="M48" i="6"/>
  <c r="K48" i="6"/>
  <c r="J48" i="6"/>
  <c r="H48" i="6"/>
  <c r="E48" i="6"/>
  <c r="D48" i="6"/>
  <c r="P46" i="6"/>
  <c r="P48" i="6" s="1"/>
  <c r="E46" i="6"/>
  <c r="E45" i="6"/>
  <c r="D45" i="6"/>
  <c r="E44" i="6"/>
  <c r="D44" i="6"/>
  <c r="E43" i="6"/>
  <c r="D43" i="6"/>
  <c r="E42" i="6"/>
  <c r="D42" i="6"/>
  <c r="U41" i="6"/>
  <c r="P41" i="6"/>
  <c r="N41" i="6"/>
  <c r="S41" i="6" s="1"/>
  <c r="M41" i="6"/>
  <c r="R41" i="6" s="1"/>
  <c r="L41" i="6"/>
  <c r="Q41" i="6" s="1"/>
  <c r="K41" i="6"/>
  <c r="J41" i="6"/>
  <c r="O41" i="6" s="1"/>
  <c r="T41" i="6" s="1"/>
  <c r="J40" i="6"/>
  <c r="K40" i="6" s="1"/>
  <c r="L40" i="6" s="1"/>
  <c r="M40" i="6" s="1"/>
  <c r="N40" i="6" s="1"/>
  <c r="O40" i="6" s="1"/>
  <c r="P40" i="6" s="1"/>
  <c r="Q40" i="6" s="1"/>
  <c r="R40" i="6" s="1"/>
  <c r="S40" i="6" s="1"/>
  <c r="T40" i="6" s="1"/>
  <c r="U40" i="6" s="1"/>
  <c r="F40" i="6"/>
  <c r="E40" i="6"/>
  <c r="G39" i="6"/>
  <c r="F39" i="6"/>
  <c r="E39" i="6"/>
  <c r="D39" i="6"/>
  <c r="H38" i="6"/>
  <c r="I38" i="6" s="1"/>
  <c r="J38" i="6" s="1"/>
  <c r="K38" i="6" s="1"/>
  <c r="L38" i="6" s="1"/>
  <c r="M38" i="6" s="1"/>
  <c r="N38" i="6" s="1"/>
  <c r="O38" i="6" s="1"/>
  <c r="P38" i="6" s="1"/>
  <c r="G27" i="6"/>
  <c r="E26" i="6"/>
  <c r="G21" i="6"/>
  <c r="H21" i="6" s="1"/>
  <c r="I21" i="6" s="1"/>
  <c r="J21" i="6" s="1"/>
  <c r="K21" i="6" s="1"/>
  <c r="L21" i="6" s="1"/>
  <c r="M21" i="6" s="1"/>
  <c r="N21" i="6" s="1"/>
  <c r="O21" i="6" s="1"/>
  <c r="P21" i="6" s="1"/>
  <c r="Q21" i="6" s="1"/>
  <c r="R21" i="6" s="1"/>
  <c r="S21" i="6" s="1"/>
  <c r="T21" i="6" s="1"/>
  <c r="U21" i="6" s="1"/>
  <c r="N19" i="6"/>
  <c r="O19" i="6" s="1"/>
  <c r="P19" i="6" s="1"/>
  <c r="Q19" i="6" s="1"/>
  <c r="R19" i="6" s="1"/>
  <c r="S19" i="6" s="1"/>
  <c r="T19" i="6" s="1"/>
  <c r="U19" i="6" s="1"/>
  <c r="M19" i="6"/>
  <c r="L19" i="6"/>
  <c r="K19" i="6"/>
  <c r="G19" i="6"/>
  <c r="H19" i="6" s="1"/>
  <c r="I19" i="6" s="1"/>
  <c r="G17" i="6"/>
  <c r="H17" i="6" s="1"/>
  <c r="I17" i="6" s="1"/>
  <c r="J17" i="6" s="1"/>
  <c r="K17" i="6" s="1"/>
  <c r="L17" i="6" s="1"/>
  <c r="M17" i="6" s="1"/>
  <c r="N17" i="6" s="1"/>
  <c r="O17" i="6" s="1"/>
  <c r="P17" i="6" s="1"/>
  <c r="Q17" i="6" s="1"/>
  <c r="R17" i="6" s="1"/>
  <c r="S17" i="6" s="1"/>
  <c r="T17" i="6" s="1"/>
  <c r="U17" i="6" s="1"/>
  <c r="F51" i="6"/>
  <c r="G51" i="6" s="1"/>
  <c r="F15" i="6"/>
  <c r="F14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G12" i="6"/>
  <c r="G13" i="6" s="1"/>
  <c r="F12" i="6"/>
  <c r="F13" i="6" s="1"/>
  <c r="G8" i="6"/>
  <c r="F8" i="6"/>
  <c r="K7" i="6"/>
  <c r="L7" i="6" s="1"/>
  <c r="M7" i="6" s="1"/>
  <c r="N7" i="6" s="1"/>
  <c r="O7" i="6" s="1"/>
  <c r="P7" i="6" s="1"/>
  <c r="Q7" i="6" s="1"/>
  <c r="R7" i="6" s="1"/>
  <c r="S7" i="6" s="1"/>
  <c r="T7" i="6" s="1"/>
  <c r="U7" i="6" s="1"/>
  <c r="J7" i="6"/>
  <c r="I7" i="6"/>
  <c r="H7" i="6"/>
  <c r="G7" i="6"/>
  <c r="L6" i="6"/>
  <c r="M6" i="6" s="1"/>
  <c r="N6" i="6" s="1"/>
  <c r="O6" i="6" s="1"/>
  <c r="P6" i="6" s="1"/>
  <c r="Q6" i="6" s="1"/>
  <c r="R6" i="6" s="1"/>
  <c r="S6" i="6" s="1"/>
  <c r="T6" i="6" s="1"/>
  <c r="U6" i="6" s="1"/>
  <c r="K6" i="6"/>
  <c r="J5" i="6"/>
  <c r="K5" i="6" s="1"/>
  <c r="L5" i="6" s="1"/>
  <c r="M5" i="6" s="1"/>
  <c r="N5" i="6" s="1"/>
  <c r="O5" i="6" s="1"/>
  <c r="P5" i="6" s="1"/>
  <c r="Q5" i="6" s="1"/>
  <c r="R5" i="6" s="1"/>
  <c r="S5" i="6" s="1"/>
  <c r="T5" i="6" s="1"/>
  <c r="U5" i="6" s="1"/>
  <c r="J4" i="6"/>
  <c r="J39" i="6" s="1"/>
  <c r="K39" i="6" s="1"/>
  <c r="L39" i="6" s="1"/>
  <c r="H3" i="6"/>
  <c r="I3" i="6" s="1"/>
  <c r="J3" i="6" s="1"/>
  <c r="K3" i="6" s="1"/>
  <c r="L3" i="6" s="1"/>
  <c r="M3" i="6" s="1"/>
  <c r="N3" i="6" s="1"/>
  <c r="O3" i="6" s="1"/>
  <c r="P3" i="6" s="1"/>
  <c r="F58" i="9"/>
  <c r="F57" i="9"/>
  <c r="F15" i="9"/>
  <c r="F56" i="9" s="1"/>
  <c r="F20" i="9"/>
  <c r="F60" i="9" s="1"/>
  <c r="G66" i="9"/>
  <c r="D65" i="9"/>
  <c r="F65" i="9" s="1"/>
  <c r="F66" i="9" s="1"/>
  <c r="D64" i="9"/>
  <c r="D63" i="9"/>
  <c r="D62" i="9"/>
  <c r="F59" i="9"/>
  <c r="H57" i="9"/>
  <c r="I57" i="9" s="1"/>
  <c r="J57" i="9" s="1"/>
  <c r="K57" i="9" s="1"/>
  <c r="L57" i="9" s="1"/>
  <c r="M57" i="9" s="1"/>
  <c r="N57" i="9" s="1"/>
  <c r="O57" i="9" s="1"/>
  <c r="P57" i="9" s="1"/>
  <c r="Q57" i="9" s="1"/>
  <c r="R57" i="9" s="1"/>
  <c r="S57" i="9" s="1"/>
  <c r="T57" i="9" s="1"/>
  <c r="U57" i="9" s="1"/>
  <c r="E55" i="9"/>
  <c r="D55" i="9"/>
  <c r="F55" i="9" s="1"/>
  <c r="E54" i="9"/>
  <c r="D54" i="9"/>
  <c r="F54" i="9" s="1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E53" i="9"/>
  <c r="D53" i="9"/>
  <c r="E52" i="9"/>
  <c r="F52" i="9" s="1"/>
  <c r="D52" i="9"/>
  <c r="P51" i="9"/>
  <c r="E51" i="9"/>
  <c r="D51" i="9"/>
  <c r="E50" i="9"/>
  <c r="D50" i="9"/>
  <c r="E49" i="9"/>
  <c r="D49" i="9"/>
  <c r="E48" i="9"/>
  <c r="D48" i="9"/>
  <c r="E47" i="9"/>
  <c r="D47" i="9"/>
  <c r="F45" i="9"/>
  <c r="H45" i="9" s="1"/>
  <c r="I45" i="9" s="1"/>
  <c r="J45" i="9" s="1"/>
  <c r="K45" i="9" s="1"/>
  <c r="L45" i="9" s="1"/>
  <c r="M45" i="9" s="1"/>
  <c r="N45" i="9" s="1"/>
  <c r="O45" i="9" s="1"/>
  <c r="P45" i="9" s="1"/>
  <c r="Q45" i="9" s="1"/>
  <c r="R45" i="9" s="1"/>
  <c r="S45" i="9" s="1"/>
  <c r="T45" i="9" s="1"/>
  <c r="U45" i="9" s="1"/>
  <c r="F44" i="9"/>
  <c r="I44" i="9" s="1"/>
  <c r="H43" i="9"/>
  <c r="I43" i="9" s="1"/>
  <c r="J43" i="9" s="1"/>
  <c r="K43" i="9" s="1"/>
  <c r="L43" i="9" s="1"/>
  <c r="M43" i="9" s="1"/>
  <c r="N43" i="9" s="1"/>
  <c r="O43" i="9" s="1"/>
  <c r="P43" i="9" s="1"/>
  <c r="E26" i="9"/>
  <c r="F26" i="9" s="1"/>
  <c r="F27" i="9" s="1"/>
  <c r="F21" i="9"/>
  <c r="G21" i="9" s="1"/>
  <c r="H21" i="9" s="1"/>
  <c r="I21" i="9" s="1"/>
  <c r="J21" i="9" s="1"/>
  <c r="K21" i="9" s="1"/>
  <c r="L21" i="9" s="1"/>
  <c r="M21" i="9" s="1"/>
  <c r="N21" i="9" s="1"/>
  <c r="O21" i="9" s="1"/>
  <c r="P21" i="9" s="1"/>
  <c r="Q21" i="9" s="1"/>
  <c r="R21" i="9" s="1"/>
  <c r="S21" i="9" s="1"/>
  <c r="T21" i="9" s="1"/>
  <c r="U21" i="9" s="1"/>
  <c r="G18" i="9"/>
  <c r="H18" i="9" s="1"/>
  <c r="I18" i="9" s="1"/>
  <c r="J18" i="9" s="1"/>
  <c r="K18" i="9" s="1"/>
  <c r="L18" i="9" s="1"/>
  <c r="M18" i="9" s="1"/>
  <c r="N18" i="9" s="1"/>
  <c r="O18" i="9" s="1"/>
  <c r="P18" i="9" s="1"/>
  <c r="Q18" i="9" s="1"/>
  <c r="R18" i="9" s="1"/>
  <c r="S18" i="9" s="1"/>
  <c r="T18" i="9" s="1"/>
  <c r="U18" i="9" s="1"/>
  <c r="F17" i="9"/>
  <c r="H17" i="9" s="1"/>
  <c r="I17" i="9" s="1"/>
  <c r="J17" i="9" s="1"/>
  <c r="K17" i="9" s="1"/>
  <c r="L17" i="9" s="1"/>
  <c r="M17" i="9" s="1"/>
  <c r="N17" i="9" s="1"/>
  <c r="O17" i="9" s="1"/>
  <c r="P17" i="9" s="1"/>
  <c r="Q17" i="9" s="1"/>
  <c r="R17" i="9" s="1"/>
  <c r="S17" i="9" s="1"/>
  <c r="T17" i="9" s="1"/>
  <c r="U17" i="9" s="1"/>
  <c r="H16" i="9"/>
  <c r="I16" i="9" s="1"/>
  <c r="J16" i="9" s="1"/>
  <c r="K16" i="9" s="1"/>
  <c r="L16" i="9" s="1"/>
  <c r="M16" i="9" s="1"/>
  <c r="N16" i="9" s="1"/>
  <c r="O16" i="9" s="1"/>
  <c r="P16" i="9" s="1"/>
  <c r="Q16" i="9" s="1"/>
  <c r="R16" i="9" s="1"/>
  <c r="S16" i="9" s="1"/>
  <c r="T16" i="9" s="1"/>
  <c r="U16" i="9" s="1"/>
  <c r="F14" i="9"/>
  <c r="F13" i="9"/>
  <c r="U12" i="9"/>
  <c r="T12" i="9"/>
  <c r="S12" i="9"/>
  <c r="R12" i="9"/>
  <c r="Q12" i="9"/>
  <c r="O12" i="9"/>
  <c r="N12" i="9"/>
  <c r="M12" i="9"/>
  <c r="L12" i="9"/>
  <c r="K12" i="9"/>
  <c r="J12" i="9"/>
  <c r="I12" i="9"/>
  <c r="H12" i="9"/>
  <c r="G11" i="9"/>
  <c r="F11" i="9"/>
  <c r="P10" i="9"/>
  <c r="P12" i="9" s="1"/>
  <c r="G10" i="9"/>
  <c r="G12" i="9" s="1"/>
  <c r="F10" i="9"/>
  <c r="F12" i="9" s="1"/>
  <c r="F6" i="9"/>
  <c r="H5" i="9"/>
  <c r="I5" i="9" s="1"/>
  <c r="J4" i="9"/>
  <c r="I4" i="9"/>
  <c r="H4" i="9"/>
  <c r="G6" i="9"/>
  <c r="H3" i="9"/>
  <c r="I3" i="9" s="1"/>
  <c r="J3" i="9" s="1"/>
  <c r="K3" i="9" s="1"/>
  <c r="L3" i="9" s="1"/>
  <c r="M3" i="9" s="1"/>
  <c r="N3" i="9" s="1"/>
  <c r="O3" i="9" s="1"/>
  <c r="P3" i="9" s="1"/>
  <c r="F51" i="8"/>
  <c r="F50" i="8"/>
  <c r="F49" i="8"/>
  <c r="G49" i="8" s="1"/>
  <c r="H49" i="8" s="1"/>
  <c r="I49" i="8" s="1"/>
  <c r="J49" i="8" s="1"/>
  <c r="K49" i="8" s="1"/>
  <c r="L49" i="8" s="1"/>
  <c r="M49" i="8" s="1"/>
  <c r="N49" i="8" s="1"/>
  <c r="O49" i="8" s="1"/>
  <c r="P49" i="8" s="1"/>
  <c r="Q49" i="8" s="1"/>
  <c r="R49" i="8" s="1"/>
  <c r="S49" i="8" s="1"/>
  <c r="T49" i="8" s="1"/>
  <c r="U49" i="8" s="1"/>
  <c r="E43" i="8"/>
  <c r="G43" i="8" s="1"/>
  <c r="G45" i="8" s="1"/>
  <c r="G58" i="8"/>
  <c r="H57" i="8"/>
  <c r="I57" i="8" s="1"/>
  <c r="D57" i="8"/>
  <c r="F57" i="8" s="1"/>
  <c r="F58" i="8" s="1"/>
  <c r="D56" i="8"/>
  <c r="D55" i="8"/>
  <c r="D54" i="8"/>
  <c r="F53" i="8"/>
  <c r="I53" i="8" s="1"/>
  <c r="J52" i="8"/>
  <c r="K52" i="8" s="1"/>
  <c r="L52" i="8" s="1"/>
  <c r="M52" i="8" s="1"/>
  <c r="N52" i="8" s="1"/>
  <c r="O52" i="8" s="1"/>
  <c r="P52" i="8" s="1"/>
  <c r="Q52" i="8" s="1"/>
  <c r="R52" i="8" s="1"/>
  <c r="S52" i="8" s="1"/>
  <c r="T52" i="8" s="1"/>
  <c r="U52" i="8" s="1"/>
  <c r="I52" i="8"/>
  <c r="H52" i="8"/>
  <c r="G52" i="8"/>
  <c r="F48" i="8"/>
  <c r="G48" i="8" s="1"/>
  <c r="E47" i="8"/>
  <c r="D47" i="8"/>
  <c r="F47" i="8" s="1"/>
  <c r="E46" i="8"/>
  <c r="D46" i="8"/>
  <c r="U45" i="8"/>
  <c r="T45" i="8"/>
  <c r="S45" i="8"/>
  <c r="R45" i="8"/>
  <c r="Q45" i="8"/>
  <c r="O45" i="8"/>
  <c r="N45" i="8"/>
  <c r="M45" i="8"/>
  <c r="L45" i="8"/>
  <c r="K45" i="8"/>
  <c r="J45" i="8"/>
  <c r="I45" i="8"/>
  <c r="H45" i="8"/>
  <c r="E45" i="8"/>
  <c r="D45" i="8"/>
  <c r="P43" i="8"/>
  <c r="P45" i="8" s="1"/>
  <c r="D43" i="8"/>
  <c r="E42" i="8"/>
  <c r="D42" i="8"/>
  <c r="E41" i="8"/>
  <c r="D41" i="8"/>
  <c r="E40" i="8"/>
  <c r="D40" i="8"/>
  <c r="E39" i="8"/>
  <c r="D39" i="8"/>
  <c r="F39" i="8"/>
  <c r="H36" i="8"/>
  <c r="I36" i="8" s="1"/>
  <c r="J36" i="8" s="1"/>
  <c r="K36" i="8" s="1"/>
  <c r="L36" i="8" s="1"/>
  <c r="M36" i="8" s="1"/>
  <c r="N36" i="8" s="1"/>
  <c r="O36" i="8" s="1"/>
  <c r="P36" i="8" s="1"/>
  <c r="G25" i="8"/>
  <c r="F24" i="8"/>
  <c r="G24" i="8" s="1"/>
  <c r="H24" i="8" s="1"/>
  <c r="I24" i="8" s="1"/>
  <c r="J24" i="8" s="1"/>
  <c r="K24" i="8" s="1"/>
  <c r="L24" i="8" s="1"/>
  <c r="M24" i="8" s="1"/>
  <c r="N24" i="8" s="1"/>
  <c r="O24" i="8" s="1"/>
  <c r="P24" i="8" s="1"/>
  <c r="Q24" i="8" s="1"/>
  <c r="R24" i="8" s="1"/>
  <c r="S24" i="8" s="1"/>
  <c r="T24" i="8" s="1"/>
  <c r="U24" i="8" s="1"/>
  <c r="E23" i="8"/>
  <c r="F23" i="8" s="1"/>
  <c r="F25" i="8" s="1"/>
  <c r="F20" i="8"/>
  <c r="G18" i="8"/>
  <c r="H18" i="8" s="1"/>
  <c r="I18" i="8" s="1"/>
  <c r="J18" i="8" s="1"/>
  <c r="K18" i="8" s="1"/>
  <c r="L18" i="8" s="1"/>
  <c r="M18" i="8" s="1"/>
  <c r="N18" i="8" s="1"/>
  <c r="O18" i="8" s="1"/>
  <c r="P18" i="8" s="1"/>
  <c r="Q18" i="8" s="1"/>
  <c r="R18" i="8" s="1"/>
  <c r="S18" i="8" s="1"/>
  <c r="T18" i="8" s="1"/>
  <c r="U18" i="8" s="1"/>
  <c r="G16" i="8"/>
  <c r="H16" i="8" s="1"/>
  <c r="I16" i="8" s="1"/>
  <c r="J16" i="8" s="1"/>
  <c r="K16" i="8" s="1"/>
  <c r="L16" i="8" s="1"/>
  <c r="M16" i="8" s="1"/>
  <c r="N16" i="8" s="1"/>
  <c r="O16" i="8" s="1"/>
  <c r="P16" i="8" s="1"/>
  <c r="Q16" i="8" s="1"/>
  <c r="R16" i="8" s="1"/>
  <c r="S16" i="8" s="1"/>
  <c r="T16" i="8" s="1"/>
  <c r="U16" i="8" s="1"/>
  <c r="G14" i="8"/>
  <c r="H14" i="8" s="1"/>
  <c r="I14" i="8" s="1"/>
  <c r="J14" i="8" s="1"/>
  <c r="K14" i="8" s="1"/>
  <c r="L14" i="8" s="1"/>
  <c r="M14" i="8" s="1"/>
  <c r="N14" i="8" s="1"/>
  <c r="O14" i="8" s="1"/>
  <c r="P14" i="8" s="1"/>
  <c r="Q14" i="8" s="1"/>
  <c r="R14" i="8" s="1"/>
  <c r="S14" i="8" s="1"/>
  <c r="T14" i="8" s="1"/>
  <c r="U14" i="8" s="1"/>
  <c r="G13" i="8"/>
  <c r="F12" i="8"/>
  <c r="F11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9" i="8"/>
  <c r="G10" i="8" s="1"/>
  <c r="F9" i="8"/>
  <c r="F10" i="8" s="1"/>
  <c r="F5" i="8"/>
  <c r="J4" i="8"/>
  <c r="K4" i="8" s="1"/>
  <c r="L4" i="8" s="1"/>
  <c r="I4" i="8"/>
  <c r="I5" i="8" s="1"/>
  <c r="H4" i="8"/>
  <c r="H5" i="8" s="1"/>
  <c r="G4" i="8"/>
  <c r="G5" i="8" s="1"/>
  <c r="H3" i="8"/>
  <c r="I3" i="8" s="1"/>
  <c r="J3" i="8" s="1"/>
  <c r="K3" i="8" s="1"/>
  <c r="L3" i="8" s="1"/>
  <c r="M3" i="8" s="1"/>
  <c r="N3" i="8" s="1"/>
  <c r="O3" i="8" s="1"/>
  <c r="P3" i="8" s="1"/>
  <c r="H12" i="6" l="1"/>
  <c r="H13" i="6" s="1"/>
  <c r="I4" i="6"/>
  <c r="J54" i="6"/>
  <c r="K54" i="6" s="1"/>
  <c r="L54" i="6" s="1"/>
  <c r="M54" i="6" s="1"/>
  <c r="N54" i="6" s="1"/>
  <c r="O54" i="6" s="1"/>
  <c r="P54" i="6" s="1"/>
  <c r="Q54" i="6" s="1"/>
  <c r="R54" i="6" s="1"/>
  <c r="S54" i="6" s="1"/>
  <c r="T54" i="6" s="1"/>
  <c r="U54" i="6" s="1"/>
  <c r="G16" i="6"/>
  <c r="H16" i="6" s="1"/>
  <c r="I16" i="6" s="1"/>
  <c r="J16" i="6" s="1"/>
  <c r="K16" i="6" s="1"/>
  <c r="L16" i="6" s="1"/>
  <c r="G48" i="6"/>
  <c r="J8" i="6"/>
  <c r="F18" i="6"/>
  <c r="F23" i="6" s="1"/>
  <c r="J18" i="6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K4" i="6"/>
  <c r="L4" i="6" s="1"/>
  <c r="L8" i="6" s="1"/>
  <c r="M39" i="6"/>
  <c r="L42" i="6"/>
  <c r="J42" i="6"/>
  <c r="H51" i="6"/>
  <c r="F42" i="6"/>
  <c r="G40" i="6"/>
  <c r="I40" i="6" s="1"/>
  <c r="K42" i="6"/>
  <c r="H26" i="6"/>
  <c r="F26" i="6"/>
  <c r="J56" i="6"/>
  <c r="K56" i="6" s="1"/>
  <c r="L56" i="6" s="1"/>
  <c r="M56" i="6" s="1"/>
  <c r="N56" i="6" s="1"/>
  <c r="O56" i="6" s="1"/>
  <c r="P56" i="6" s="1"/>
  <c r="Q56" i="6" s="1"/>
  <c r="R56" i="6" s="1"/>
  <c r="S56" i="6" s="1"/>
  <c r="T56" i="6" s="1"/>
  <c r="U56" i="6" s="1"/>
  <c r="I56" i="6"/>
  <c r="H56" i="6"/>
  <c r="G56" i="6"/>
  <c r="G54" i="6"/>
  <c r="F48" i="6"/>
  <c r="H54" i="6"/>
  <c r="G15" i="9"/>
  <c r="H15" i="9"/>
  <c r="I15" i="9" s="1"/>
  <c r="H6" i="9"/>
  <c r="I6" i="9"/>
  <c r="H20" i="9"/>
  <c r="I20" i="9" s="1"/>
  <c r="J20" i="9" s="1"/>
  <c r="K20" i="9" s="1"/>
  <c r="L20" i="9" s="1"/>
  <c r="M20" i="9" s="1"/>
  <c r="N20" i="9" s="1"/>
  <c r="O20" i="9" s="1"/>
  <c r="P20" i="9" s="1"/>
  <c r="Q20" i="9" s="1"/>
  <c r="R20" i="9" s="1"/>
  <c r="S20" i="9" s="1"/>
  <c r="T20" i="9" s="1"/>
  <c r="U20" i="9" s="1"/>
  <c r="H44" i="9"/>
  <c r="H47" i="9" s="1"/>
  <c r="H26" i="9"/>
  <c r="J5" i="9"/>
  <c r="K5" i="9" s="1"/>
  <c r="L5" i="9" s="1"/>
  <c r="M5" i="9" s="1"/>
  <c r="N5" i="9" s="1"/>
  <c r="O5" i="9" s="1"/>
  <c r="P5" i="9" s="1"/>
  <c r="Q5" i="9" s="1"/>
  <c r="R5" i="9" s="1"/>
  <c r="S5" i="9" s="1"/>
  <c r="T5" i="9" s="1"/>
  <c r="U5" i="9" s="1"/>
  <c r="G17" i="9"/>
  <c r="G51" i="9"/>
  <c r="H65" i="9"/>
  <c r="G52" i="9"/>
  <c r="F23" i="9"/>
  <c r="I47" i="9"/>
  <c r="F61" i="9"/>
  <c r="F51" i="9"/>
  <c r="F53" i="9" s="1"/>
  <c r="H56" i="9"/>
  <c r="G26" i="9"/>
  <c r="G27" i="9" s="1"/>
  <c r="K4" i="9"/>
  <c r="H66" i="9"/>
  <c r="I65" i="9"/>
  <c r="J60" i="9"/>
  <c r="K60" i="9" s="1"/>
  <c r="L60" i="9" s="1"/>
  <c r="M60" i="9" s="1"/>
  <c r="N60" i="9" s="1"/>
  <c r="O60" i="9" s="1"/>
  <c r="P60" i="9" s="1"/>
  <c r="Q60" i="9" s="1"/>
  <c r="R60" i="9" s="1"/>
  <c r="S60" i="9" s="1"/>
  <c r="T60" i="9" s="1"/>
  <c r="U60" i="9" s="1"/>
  <c r="I60" i="9"/>
  <c r="G60" i="9"/>
  <c r="G56" i="9"/>
  <c r="H60" i="9"/>
  <c r="J59" i="9"/>
  <c r="K59" i="9" s="1"/>
  <c r="L59" i="9" s="1"/>
  <c r="M59" i="9" s="1"/>
  <c r="N59" i="9" s="1"/>
  <c r="O59" i="9" s="1"/>
  <c r="P59" i="9" s="1"/>
  <c r="Q59" i="9" s="1"/>
  <c r="R59" i="9" s="1"/>
  <c r="S59" i="9" s="1"/>
  <c r="T59" i="9" s="1"/>
  <c r="U59" i="9" s="1"/>
  <c r="I59" i="9"/>
  <c r="G20" i="9"/>
  <c r="G44" i="9"/>
  <c r="G47" i="9" s="1"/>
  <c r="F47" i="9"/>
  <c r="G59" i="9"/>
  <c r="H59" i="9"/>
  <c r="J44" i="9"/>
  <c r="I37" i="8"/>
  <c r="I39" i="8" s="1"/>
  <c r="F46" i="8"/>
  <c r="H58" i="8"/>
  <c r="G15" i="8"/>
  <c r="H15" i="8" s="1"/>
  <c r="I15" i="8" s="1"/>
  <c r="J15" i="8" s="1"/>
  <c r="K15" i="8" s="1"/>
  <c r="L15" i="8" s="1"/>
  <c r="M15" i="8" s="1"/>
  <c r="N15" i="8" s="1"/>
  <c r="O15" i="8" s="1"/>
  <c r="P15" i="8" s="1"/>
  <c r="Q15" i="8" s="1"/>
  <c r="R15" i="8" s="1"/>
  <c r="S15" i="8" s="1"/>
  <c r="T15" i="8" s="1"/>
  <c r="U15" i="8" s="1"/>
  <c r="J57" i="8"/>
  <c r="J58" i="8" s="1"/>
  <c r="I58" i="8"/>
  <c r="F43" i="8"/>
  <c r="F45" i="8" s="1"/>
  <c r="G37" i="8"/>
  <c r="G39" i="8" s="1"/>
  <c r="G53" i="8"/>
  <c r="F26" i="8"/>
  <c r="H37" i="8"/>
  <c r="H39" i="8" s="1"/>
  <c r="H53" i="8"/>
  <c r="J37" i="8"/>
  <c r="K37" i="8" s="1"/>
  <c r="L37" i="8" s="1"/>
  <c r="K57" i="8"/>
  <c r="L5" i="8"/>
  <c r="M4" i="8"/>
  <c r="H48" i="8"/>
  <c r="H51" i="8"/>
  <c r="J51" i="8"/>
  <c r="K51" i="8" s="1"/>
  <c r="L51" i="8" s="1"/>
  <c r="M51" i="8" s="1"/>
  <c r="N51" i="8" s="1"/>
  <c r="O51" i="8" s="1"/>
  <c r="P51" i="8" s="1"/>
  <c r="Q51" i="8" s="1"/>
  <c r="R51" i="8" s="1"/>
  <c r="S51" i="8" s="1"/>
  <c r="T51" i="8" s="1"/>
  <c r="U51" i="8" s="1"/>
  <c r="I51" i="8"/>
  <c r="G51" i="8"/>
  <c r="J5" i="8"/>
  <c r="F54" i="8"/>
  <c r="H50" i="8"/>
  <c r="I50" i="8" s="1"/>
  <c r="J50" i="8" s="1"/>
  <c r="K50" i="8" s="1"/>
  <c r="L50" i="8" s="1"/>
  <c r="M50" i="8" s="1"/>
  <c r="N50" i="8" s="1"/>
  <c r="O50" i="8" s="1"/>
  <c r="P50" i="8" s="1"/>
  <c r="Q50" i="8" s="1"/>
  <c r="R50" i="8" s="1"/>
  <c r="S50" i="8" s="1"/>
  <c r="T50" i="8" s="1"/>
  <c r="U50" i="8" s="1"/>
  <c r="G50" i="8"/>
  <c r="K5" i="8"/>
  <c r="H13" i="8"/>
  <c r="H23" i="8"/>
  <c r="J53" i="8"/>
  <c r="K53" i="8" s="1"/>
  <c r="L53" i="8" s="1"/>
  <c r="M53" i="8" s="1"/>
  <c r="N53" i="8" s="1"/>
  <c r="O53" i="8" s="1"/>
  <c r="P53" i="8" s="1"/>
  <c r="Q53" i="8" s="1"/>
  <c r="R53" i="8" s="1"/>
  <c r="S53" i="8" s="1"/>
  <c r="T53" i="8" s="1"/>
  <c r="U53" i="8" s="1"/>
  <c r="I23" i="9" l="1"/>
  <c r="F28" i="9"/>
  <c r="B5" i="1"/>
  <c r="G18" i="6"/>
  <c r="H4" i="6"/>
  <c r="H8" i="6" s="1"/>
  <c r="I8" i="6"/>
  <c r="I42" i="6" s="1"/>
  <c r="F53" i="6"/>
  <c r="F57" i="6" s="1"/>
  <c r="F62" i="6" s="1"/>
  <c r="M4" i="6"/>
  <c r="M8" i="6" s="1"/>
  <c r="K23" i="6"/>
  <c r="K8" i="6"/>
  <c r="J23" i="6"/>
  <c r="J30" i="6" s="1"/>
  <c r="I51" i="6"/>
  <c r="G42" i="6"/>
  <c r="L23" i="6"/>
  <c r="L30" i="6" s="1"/>
  <c r="M16" i="6"/>
  <c r="H42" i="6"/>
  <c r="N4" i="6"/>
  <c r="H27" i="6"/>
  <c r="I26" i="6"/>
  <c r="I60" i="6"/>
  <c r="N39" i="6"/>
  <c r="M42" i="6"/>
  <c r="F27" i="6"/>
  <c r="F28" i="6" s="1"/>
  <c r="G60" i="6"/>
  <c r="G61" i="6" s="1"/>
  <c r="H18" i="6"/>
  <c r="G23" i="6"/>
  <c r="J53" i="6"/>
  <c r="K53" i="6" s="1"/>
  <c r="L53" i="6" s="1"/>
  <c r="M53" i="6" s="1"/>
  <c r="N53" i="6" s="1"/>
  <c r="O53" i="6" s="1"/>
  <c r="P53" i="6" s="1"/>
  <c r="Q53" i="6" s="1"/>
  <c r="R53" i="6" s="1"/>
  <c r="S53" i="6" s="1"/>
  <c r="T53" i="6" s="1"/>
  <c r="U53" i="6" s="1"/>
  <c r="J15" i="9"/>
  <c r="J23" i="9" s="1"/>
  <c r="G53" i="9"/>
  <c r="G23" i="9"/>
  <c r="G28" i="9" s="1"/>
  <c r="I26" i="9"/>
  <c r="H27" i="9"/>
  <c r="I30" i="9"/>
  <c r="J6" i="9"/>
  <c r="H23" i="9"/>
  <c r="J47" i="9"/>
  <c r="K44" i="9"/>
  <c r="K6" i="9"/>
  <c r="L4" i="9"/>
  <c r="K15" i="9"/>
  <c r="I66" i="9"/>
  <c r="J65" i="9"/>
  <c r="J61" i="9"/>
  <c r="K61" i="9" s="1"/>
  <c r="L61" i="9" s="1"/>
  <c r="M61" i="9" s="1"/>
  <c r="N61" i="9" s="1"/>
  <c r="O61" i="9" s="1"/>
  <c r="P61" i="9" s="1"/>
  <c r="Q61" i="9" s="1"/>
  <c r="R61" i="9" s="1"/>
  <c r="S61" i="9" s="1"/>
  <c r="T61" i="9" s="1"/>
  <c r="U61" i="9" s="1"/>
  <c r="I61" i="9"/>
  <c r="H61" i="9"/>
  <c r="G61" i="9"/>
  <c r="F62" i="9"/>
  <c r="F67" i="9" s="1"/>
  <c r="G58" i="9"/>
  <c r="H58" i="9"/>
  <c r="I58" i="9" s="1"/>
  <c r="J58" i="9" s="1"/>
  <c r="K58" i="9" s="1"/>
  <c r="L58" i="9" s="1"/>
  <c r="M58" i="9" s="1"/>
  <c r="N58" i="9" s="1"/>
  <c r="O58" i="9" s="1"/>
  <c r="P58" i="9" s="1"/>
  <c r="Q58" i="9" s="1"/>
  <c r="R58" i="9" s="1"/>
  <c r="S58" i="9" s="1"/>
  <c r="T58" i="9" s="1"/>
  <c r="U58" i="9" s="1"/>
  <c r="I56" i="9"/>
  <c r="F59" i="8"/>
  <c r="G20" i="8"/>
  <c r="G54" i="8"/>
  <c r="G59" i="8" s="1"/>
  <c r="J39" i="8"/>
  <c r="N4" i="8"/>
  <c r="M5" i="8"/>
  <c r="H54" i="8"/>
  <c r="I48" i="8"/>
  <c r="M37" i="8"/>
  <c r="L39" i="8"/>
  <c r="K39" i="8"/>
  <c r="K58" i="8"/>
  <c r="L57" i="8"/>
  <c r="I13" i="8"/>
  <c r="H20" i="8"/>
  <c r="H25" i="8"/>
  <c r="I23" i="8"/>
  <c r="G62" i="9" l="1"/>
  <c r="G5" i="1"/>
  <c r="K30" i="6"/>
  <c r="G53" i="6"/>
  <c r="G57" i="6" s="1"/>
  <c r="H53" i="6"/>
  <c r="I53" i="6" s="1"/>
  <c r="I57" i="6" s="1"/>
  <c r="J51" i="6"/>
  <c r="I27" i="6"/>
  <c r="I31" i="6" s="1"/>
  <c r="J26" i="6"/>
  <c r="J60" i="6"/>
  <c r="J61" i="6" s="1"/>
  <c r="N16" i="6"/>
  <c r="M23" i="6"/>
  <c r="M30" i="6" s="1"/>
  <c r="O4" i="6"/>
  <c r="N8" i="6"/>
  <c r="I18" i="6"/>
  <c r="I23" i="6" s="1"/>
  <c r="H23" i="6"/>
  <c r="N42" i="6"/>
  <c r="O39" i="6"/>
  <c r="I61" i="6"/>
  <c r="G28" i="6"/>
  <c r="G30" i="6"/>
  <c r="G31" i="6" s="1"/>
  <c r="G62" i="6"/>
  <c r="G64" i="6"/>
  <c r="G65" i="6" s="1"/>
  <c r="G30" i="9"/>
  <c r="G31" i="9" s="1"/>
  <c r="C4" i="11" s="1"/>
  <c r="H28" i="9"/>
  <c r="H30" i="9"/>
  <c r="H31" i="9" s="1"/>
  <c r="D4" i="11" s="1"/>
  <c r="I27" i="9"/>
  <c r="I28" i="9" s="1"/>
  <c r="J26" i="9"/>
  <c r="I31" i="9"/>
  <c r="E4" i="11" s="1"/>
  <c r="G67" i="9"/>
  <c r="G69" i="9"/>
  <c r="G70" i="9" s="1"/>
  <c r="C28" i="11" s="1"/>
  <c r="J66" i="9"/>
  <c r="K65" i="9"/>
  <c r="K47" i="9"/>
  <c r="L44" i="9"/>
  <c r="J30" i="9"/>
  <c r="K23" i="9"/>
  <c r="K30" i="9" s="1"/>
  <c r="L15" i="9"/>
  <c r="H62" i="9"/>
  <c r="L6" i="9"/>
  <c r="M4" i="9"/>
  <c r="I62" i="9"/>
  <c r="J56" i="9"/>
  <c r="G61" i="8"/>
  <c r="G62" i="8" s="1"/>
  <c r="C33" i="11" s="1"/>
  <c r="G28" i="8"/>
  <c r="G29" i="8" s="1"/>
  <c r="G26" i="8"/>
  <c r="M39" i="8"/>
  <c r="N37" i="8"/>
  <c r="I20" i="8"/>
  <c r="J13" i="8"/>
  <c r="J48" i="8"/>
  <c r="I54" i="8"/>
  <c r="H28" i="8"/>
  <c r="H29" i="8" s="1"/>
  <c r="H26" i="8"/>
  <c r="L58" i="8"/>
  <c r="M57" i="8"/>
  <c r="H59" i="8"/>
  <c r="H61" i="8"/>
  <c r="H62" i="8" s="1"/>
  <c r="D33" i="11" s="1"/>
  <c r="N5" i="8"/>
  <c r="O4" i="8"/>
  <c r="I25" i="8"/>
  <c r="J23" i="8"/>
  <c r="H57" i="6" l="1"/>
  <c r="H62" i="6" s="1"/>
  <c r="H64" i="6"/>
  <c r="H65" i="6" s="1"/>
  <c r="K60" i="6"/>
  <c r="K61" i="6" s="1"/>
  <c r="J27" i="6"/>
  <c r="K26" i="6"/>
  <c r="P4" i="6"/>
  <c r="O8" i="6"/>
  <c r="I62" i="6"/>
  <c r="I64" i="6"/>
  <c r="I65" i="6" s="1"/>
  <c r="I30" i="6"/>
  <c r="I28" i="6"/>
  <c r="O42" i="6"/>
  <c r="P39" i="6"/>
  <c r="K51" i="6"/>
  <c r="J57" i="6"/>
  <c r="N23" i="6"/>
  <c r="O16" i="6"/>
  <c r="H28" i="6"/>
  <c r="H30" i="6"/>
  <c r="H31" i="6" s="1"/>
  <c r="K26" i="9"/>
  <c r="J27" i="9"/>
  <c r="J28" i="9" s="1"/>
  <c r="N4" i="9"/>
  <c r="M6" i="9"/>
  <c r="M44" i="9"/>
  <c r="L47" i="9"/>
  <c r="H67" i="9"/>
  <c r="H69" i="9"/>
  <c r="H70" i="9" s="1"/>
  <c r="D28" i="11" s="1"/>
  <c r="L23" i="9"/>
  <c r="L30" i="9" s="1"/>
  <c r="M15" i="9"/>
  <c r="K56" i="9"/>
  <c r="J62" i="9"/>
  <c r="K66" i="9"/>
  <c r="L65" i="9"/>
  <c r="I67" i="9"/>
  <c r="I69" i="9"/>
  <c r="I70" i="9" s="1"/>
  <c r="E28" i="11" s="1"/>
  <c r="J25" i="8"/>
  <c r="K23" i="8"/>
  <c r="K13" i="8"/>
  <c r="J20" i="8"/>
  <c r="O37" i="8"/>
  <c r="N39" i="8"/>
  <c r="I26" i="8"/>
  <c r="I28" i="8"/>
  <c r="I29" i="8" s="1"/>
  <c r="I59" i="8"/>
  <c r="I61" i="8"/>
  <c r="I62" i="8" s="1"/>
  <c r="E33" i="11" s="1"/>
  <c r="J54" i="8"/>
  <c r="K48" i="8"/>
  <c r="M58" i="8"/>
  <c r="N57" i="8"/>
  <c r="O5" i="8"/>
  <c r="P4" i="8"/>
  <c r="J62" i="6" l="1"/>
  <c r="J64" i="6"/>
  <c r="J65" i="6" s="1"/>
  <c r="P16" i="6"/>
  <c r="O23" i="6"/>
  <c r="K57" i="6"/>
  <c r="L51" i="6"/>
  <c r="L60" i="6"/>
  <c r="L61" i="6" s="1"/>
  <c r="K27" i="6"/>
  <c r="K31" i="6" s="1"/>
  <c r="L26" i="6"/>
  <c r="J28" i="6"/>
  <c r="J31" i="6"/>
  <c r="P42" i="6"/>
  <c r="Q39" i="6"/>
  <c r="N30" i="6"/>
  <c r="P8" i="6"/>
  <c r="Q4" i="6"/>
  <c r="L26" i="9"/>
  <c r="K27" i="9"/>
  <c r="J31" i="9"/>
  <c r="F4" i="11" s="1"/>
  <c r="M23" i="9"/>
  <c r="M30" i="9" s="1"/>
  <c r="N15" i="9"/>
  <c r="N44" i="9"/>
  <c r="M47" i="9"/>
  <c r="L66" i="9"/>
  <c r="M65" i="9"/>
  <c r="O4" i="9"/>
  <c r="N6" i="9"/>
  <c r="J67" i="9"/>
  <c r="J69" i="9"/>
  <c r="J70" i="9" s="1"/>
  <c r="F28" i="11" s="1"/>
  <c r="K62" i="9"/>
  <c r="L56" i="9"/>
  <c r="J26" i="8"/>
  <c r="J28" i="8"/>
  <c r="J29" i="8" s="1"/>
  <c r="K54" i="8"/>
  <c r="L48" i="8"/>
  <c r="P37" i="8"/>
  <c r="O39" i="8"/>
  <c r="L13" i="8"/>
  <c r="K20" i="8"/>
  <c r="N58" i="8"/>
  <c r="O57" i="8"/>
  <c r="J61" i="8"/>
  <c r="J62" i="8" s="1"/>
  <c r="F33" i="11" s="1"/>
  <c r="J59" i="8"/>
  <c r="P5" i="8"/>
  <c r="Q4" i="8"/>
  <c r="K25" i="8"/>
  <c r="L23" i="8"/>
  <c r="P23" i="6" l="1"/>
  <c r="Q16" i="6"/>
  <c r="M60" i="6"/>
  <c r="M26" i="6"/>
  <c r="L27" i="6"/>
  <c r="O30" i="6"/>
  <c r="K28" i="6"/>
  <c r="M51" i="6"/>
  <c r="L57" i="6"/>
  <c r="R4" i="6"/>
  <c r="Q8" i="6"/>
  <c r="Q42" i="6"/>
  <c r="R39" i="6"/>
  <c r="K62" i="6"/>
  <c r="K64" i="6"/>
  <c r="K65" i="6" s="1"/>
  <c r="K31" i="9"/>
  <c r="G4" i="11" s="1"/>
  <c r="K28" i="9"/>
  <c r="M26" i="9"/>
  <c r="L27" i="9"/>
  <c r="M56" i="9"/>
  <c r="L62" i="9"/>
  <c r="O44" i="9"/>
  <c r="N47" i="9"/>
  <c r="N23" i="9"/>
  <c r="O15" i="9"/>
  <c r="K67" i="9"/>
  <c r="K69" i="9"/>
  <c r="K70" i="9" s="1"/>
  <c r="G28" i="11" s="1"/>
  <c r="P4" i="9"/>
  <c r="O6" i="9"/>
  <c r="M66" i="9"/>
  <c r="N65" i="9"/>
  <c r="P39" i="8"/>
  <c r="Q37" i="8"/>
  <c r="M48" i="8"/>
  <c r="L54" i="8"/>
  <c r="O58" i="8"/>
  <c r="P57" i="8"/>
  <c r="L25" i="8"/>
  <c r="M23" i="8"/>
  <c r="K26" i="8"/>
  <c r="K28" i="8"/>
  <c r="K29" i="8" s="1"/>
  <c r="Q5" i="8"/>
  <c r="R4" i="8"/>
  <c r="L20" i="8"/>
  <c r="M13" i="8"/>
  <c r="K59" i="8"/>
  <c r="K61" i="8"/>
  <c r="K62" i="8" s="1"/>
  <c r="G33" i="11" s="1"/>
  <c r="Q23" i="6" l="1"/>
  <c r="Q30" i="6" s="1"/>
  <c r="R16" i="6"/>
  <c r="P30" i="6"/>
  <c r="N51" i="6"/>
  <c r="M57" i="6"/>
  <c r="N60" i="6"/>
  <c r="N61" i="6" s="1"/>
  <c r="N26" i="6"/>
  <c r="M27" i="6"/>
  <c r="M61" i="6"/>
  <c r="S39" i="6"/>
  <c r="R42" i="6"/>
  <c r="R8" i="6"/>
  <c r="S4" i="6"/>
  <c r="L62" i="6"/>
  <c r="L64" i="6"/>
  <c r="L65" i="6" s="1"/>
  <c r="L28" i="6"/>
  <c r="L31" i="6"/>
  <c r="L28" i="9"/>
  <c r="L31" i="9"/>
  <c r="H4" i="11" s="1"/>
  <c r="N26" i="9"/>
  <c r="M27" i="9"/>
  <c r="P44" i="9"/>
  <c r="O47" i="9"/>
  <c r="P6" i="9"/>
  <c r="Q4" i="9"/>
  <c r="L67" i="9"/>
  <c r="L69" i="9"/>
  <c r="L70" i="9" s="1"/>
  <c r="H28" i="11" s="1"/>
  <c r="N30" i="9"/>
  <c r="M62" i="9"/>
  <c r="N56" i="9"/>
  <c r="N66" i="9"/>
  <c r="O65" i="9"/>
  <c r="O23" i="9"/>
  <c r="P15" i="9"/>
  <c r="M54" i="8"/>
  <c r="N48" i="8"/>
  <c r="R37" i="8"/>
  <c r="Q39" i="8"/>
  <c r="P58" i="8"/>
  <c r="Q57" i="8"/>
  <c r="L26" i="8"/>
  <c r="L28" i="8"/>
  <c r="L29" i="8" s="1"/>
  <c r="S4" i="8"/>
  <c r="R5" i="8"/>
  <c r="L59" i="8"/>
  <c r="L61" i="8"/>
  <c r="L62" i="8" s="1"/>
  <c r="H33" i="11" s="1"/>
  <c r="N23" i="8"/>
  <c r="M25" i="8"/>
  <c r="N13" i="8"/>
  <c r="M20" i="8"/>
  <c r="N27" i="6" l="1"/>
  <c r="O26" i="6"/>
  <c r="O60" i="6"/>
  <c r="O51" i="6"/>
  <c r="N57" i="6"/>
  <c r="T39" i="6"/>
  <c r="S42" i="6"/>
  <c r="M31" i="6"/>
  <c r="M28" i="6"/>
  <c r="T4" i="6"/>
  <c r="S8" i="6"/>
  <c r="R23" i="6"/>
  <c r="R30" i="6" s="1"/>
  <c r="S16" i="6"/>
  <c r="M62" i="6"/>
  <c r="M64" i="6"/>
  <c r="M65" i="6" s="1"/>
  <c r="M31" i="9"/>
  <c r="I4" i="11" s="1"/>
  <c r="M28" i="9"/>
  <c r="O26" i="9"/>
  <c r="N27" i="9"/>
  <c r="N28" i="9" s="1"/>
  <c r="R4" i="9"/>
  <c r="Q6" i="9"/>
  <c r="O66" i="9"/>
  <c r="P65" i="9"/>
  <c r="Q15" i="9"/>
  <c r="P23" i="9"/>
  <c r="O56" i="9"/>
  <c r="N62" i="9"/>
  <c r="M67" i="9"/>
  <c r="M69" i="9"/>
  <c r="M70" i="9" s="1"/>
  <c r="I28" i="11" s="1"/>
  <c r="P47" i="9"/>
  <c r="Q44" i="9"/>
  <c r="O30" i="9"/>
  <c r="N25" i="8"/>
  <c r="O23" i="8"/>
  <c r="M26" i="8"/>
  <c r="M28" i="8"/>
  <c r="M29" i="8" s="1"/>
  <c r="O48" i="8"/>
  <c r="N54" i="8"/>
  <c r="R39" i="8"/>
  <c r="S37" i="8"/>
  <c r="S5" i="8"/>
  <c r="T4" i="8"/>
  <c r="N20" i="8"/>
  <c r="O13" i="8"/>
  <c r="M59" i="8"/>
  <c r="M61" i="8"/>
  <c r="M62" i="8" s="1"/>
  <c r="I33" i="11" s="1"/>
  <c r="R57" i="8"/>
  <c r="Q58" i="8"/>
  <c r="T16" i="6" l="1"/>
  <c r="S23" i="6"/>
  <c r="S30" i="6" s="1"/>
  <c r="U39" i="6"/>
  <c r="U42" i="6" s="1"/>
  <c r="T42" i="6"/>
  <c r="N28" i="6"/>
  <c r="N31" i="6"/>
  <c r="T8" i="6"/>
  <c r="U4" i="6"/>
  <c r="U8" i="6" s="1"/>
  <c r="O61" i="6"/>
  <c r="O27" i="6"/>
  <c r="P26" i="6"/>
  <c r="P60" i="6"/>
  <c r="P61" i="6" s="1"/>
  <c r="N62" i="6"/>
  <c r="N64" i="6"/>
  <c r="N65" i="6" s="1"/>
  <c r="P51" i="6"/>
  <c r="O57" i="6"/>
  <c r="O31" i="9"/>
  <c r="K4" i="11" s="1"/>
  <c r="P30" i="9"/>
  <c r="O27" i="9"/>
  <c r="O28" i="9" s="1"/>
  <c r="P26" i="9"/>
  <c r="N31" i="9"/>
  <c r="J4" i="11" s="1"/>
  <c r="Q23" i="9"/>
  <c r="Q30" i="9" s="1"/>
  <c r="R15" i="9"/>
  <c r="P66" i="9"/>
  <c r="Q65" i="9"/>
  <c r="N67" i="9"/>
  <c r="N69" i="9"/>
  <c r="N70" i="9" s="1"/>
  <c r="J28" i="11" s="1"/>
  <c r="R6" i="9"/>
  <c r="S4" i="9"/>
  <c r="P56" i="9"/>
  <c r="O62" i="9"/>
  <c r="Q47" i="9"/>
  <c r="R44" i="9"/>
  <c r="R58" i="8"/>
  <c r="S57" i="8"/>
  <c r="N59" i="8"/>
  <c r="N61" i="8"/>
  <c r="N62" i="8" s="1"/>
  <c r="J33" i="11" s="1"/>
  <c r="O20" i="8"/>
  <c r="P13" i="8"/>
  <c r="P48" i="8"/>
  <c r="O54" i="8"/>
  <c r="N26" i="8"/>
  <c r="N28" i="8"/>
  <c r="N29" i="8" s="1"/>
  <c r="T5" i="8"/>
  <c r="U4" i="8"/>
  <c r="U5" i="8" s="1"/>
  <c r="S39" i="8"/>
  <c r="T37" i="8"/>
  <c r="O25" i="8"/>
  <c r="P23" i="8"/>
  <c r="Q51" i="6" l="1"/>
  <c r="P57" i="6"/>
  <c r="O62" i="6"/>
  <c r="O64" i="6"/>
  <c r="O65" i="6" s="1"/>
  <c r="T23" i="6"/>
  <c r="U16" i="6"/>
  <c r="U23" i="6" s="1"/>
  <c r="U30" i="6" s="1"/>
  <c r="P27" i="6"/>
  <c r="Q26" i="6"/>
  <c r="Q60" i="6"/>
  <c r="Q61" i="6" s="1"/>
  <c r="O28" i="6"/>
  <c r="O31" i="6"/>
  <c r="P27" i="9"/>
  <c r="P28" i="9" s="1"/>
  <c r="Q26" i="9"/>
  <c r="Q56" i="9"/>
  <c r="P62" i="9"/>
  <c r="R65" i="9"/>
  <c r="Q66" i="9"/>
  <c r="R47" i="9"/>
  <c r="S44" i="9"/>
  <c r="R23" i="9"/>
  <c r="R30" i="9" s="1"/>
  <c r="S15" i="9"/>
  <c r="O67" i="9"/>
  <c r="O69" i="9"/>
  <c r="O70" i="9" s="1"/>
  <c r="K28" i="11" s="1"/>
  <c r="S6" i="9"/>
  <c r="T4" i="9"/>
  <c r="O59" i="8"/>
  <c r="O61" i="8"/>
  <c r="O62" i="8" s="1"/>
  <c r="K33" i="11" s="1"/>
  <c r="P54" i="8"/>
  <c r="Q48" i="8"/>
  <c r="Q13" i="8"/>
  <c r="P20" i="8"/>
  <c r="O26" i="8"/>
  <c r="O28" i="8"/>
  <c r="O29" i="8" s="1"/>
  <c r="S58" i="8"/>
  <c r="T57" i="8"/>
  <c r="U37" i="8"/>
  <c r="U39" i="8" s="1"/>
  <c r="T39" i="8"/>
  <c r="P25" i="8"/>
  <c r="Q23" i="8"/>
  <c r="Q57" i="6" l="1"/>
  <c r="R51" i="6"/>
  <c r="Q27" i="6"/>
  <c r="R26" i="6"/>
  <c r="R60" i="6"/>
  <c r="R61" i="6" s="1"/>
  <c r="P28" i="6"/>
  <c r="P31" i="6"/>
  <c r="T30" i="6"/>
  <c r="P62" i="6"/>
  <c r="P64" i="6"/>
  <c r="P65" i="6" s="1"/>
  <c r="R26" i="9"/>
  <c r="Q27" i="9"/>
  <c r="P31" i="9"/>
  <c r="L4" i="11" s="1"/>
  <c r="T44" i="9"/>
  <c r="S47" i="9"/>
  <c r="S65" i="9"/>
  <c r="R66" i="9"/>
  <c r="P67" i="9"/>
  <c r="P69" i="9"/>
  <c r="P70" i="9" s="1"/>
  <c r="L28" i="11" s="1"/>
  <c r="Q62" i="9"/>
  <c r="R56" i="9"/>
  <c r="T15" i="9"/>
  <c r="S23" i="9"/>
  <c r="T6" i="9"/>
  <c r="U4" i="9"/>
  <c r="U6" i="9" s="1"/>
  <c r="U57" i="8"/>
  <c r="T58" i="8"/>
  <c r="R48" i="8"/>
  <c r="Q54" i="8"/>
  <c r="P59" i="8"/>
  <c r="P61" i="8"/>
  <c r="P62" i="8" s="1"/>
  <c r="L33" i="11" s="1"/>
  <c r="P26" i="8"/>
  <c r="P28" i="8"/>
  <c r="P29" i="8" s="1"/>
  <c r="Q20" i="8"/>
  <c r="R13" i="8"/>
  <c r="Q25" i="8"/>
  <c r="R23" i="8"/>
  <c r="S60" i="6" l="1"/>
  <c r="S61" i="6" s="1"/>
  <c r="S26" i="6"/>
  <c r="R27" i="6"/>
  <c r="Q31" i="6"/>
  <c r="Q28" i="6"/>
  <c r="S51" i="6"/>
  <c r="R57" i="6"/>
  <c r="Q62" i="6"/>
  <c r="Q64" i="6"/>
  <c r="Q65" i="6" s="1"/>
  <c r="Q31" i="9"/>
  <c r="M4" i="11" s="1"/>
  <c r="Q28" i="9"/>
  <c r="S26" i="9"/>
  <c r="R27" i="9"/>
  <c r="S66" i="9"/>
  <c r="T65" i="9"/>
  <c r="T23" i="9"/>
  <c r="U15" i="9"/>
  <c r="U23" i="9" s="1"/>
  <c r="S30" i="9"/>
  <c r="S56" i="9"/>
  <c r="R62" i="9"/>
  <c r="Q67" i="9"/>
  <c r="Q69" i="9"/>
  <c r="Q70" i="9" s="1"/>
  <c r="M28" i="11" s="1"/>
  <c r="T47" i="9"/>
  <c r="U44" i="9"/>
  <c r="U47" i="9" s="1"/>
  <c r="R25" i="8"/>
  <c r="S23" i="8"/>
  <c r="Q59" i="8"/>
  <c r="Q61" i="8"/>
  <c r="Q62" i="8" s="1"/>
  <c r="M33" i="11" s="1"/>
  <c r="R54" i="8"/>
  <c r="S48" i="8"/>
  <c r="U58" i="8"/>
  <c r="V57" i="8"/>
  <c r="S13" i="8"/>
  <c r="R20" i="8"/>
  <c r="Q26" i="8"/>
  <c r="Q28" i="8"/>
  <c r="Q29" i="8" s="1"/>
  <c r="S57" i="6" l="1"/>
  <c r="T51" i="6"/>
  <c r="R31" i="6"/>
  <c r="R28" i="6"/>
  <c r="R62" i="6"/>
  <c r="R64" i="6"/>
  <c r="R65" i="6" s="1"/>
  <c r="T60" i="6"/>
  <c r="T61" i="6" s="1"/>
  <c r="S27" i="6"/>
  <c r="T26" i="6"/>
  <c r="S27" i="9"/>
  <c r="S28" i="9" s="1"/>
  <c r="T26" i="9"/>
  <c r="R31" i="9"/>
  <c r="N4" i="11" s="1"/>
  <c r="R28" i="9"/>
  <c r="T66" i="9"/>
  <c r="U65" i="9"/>
  <c r="R67" i="9"/>
  <c r="R69" i="9"/>
  <c r="R70" i="9" s="1"/>
  <c r="N28" i="11" s="1"/>
  <c r="S62" i="9"/>
  <c r="T56" i="9"/>
  <c r="T30" i="9"/>
  <c r="U30" i="9"/>
  <c r="T48" i="8"/>
  <c r="S54" i="8"/>
  <c r="T13" i="8"/>
  <c r="S20" i="8"/>
  <c r="R59" i="8"/>
  <c r="R61" i="8"/>
  <c r="R62" i="8" s="1"/>
  <c r="N33" i="11" s="1"/>
  <c r="R26" i="8"/>
  <c r="R28" i="8"/>
  <c r="R29" i="8" s="1"/>
  <c r="S25" i="8"/>
  <c r="T23" i="8"/>
  <c r="S62" i="6" l="1"/>
  <c r="S64" i="6"/>
  <c r="S65" i="6" s="1"/>
  <c r="S28" i="6"/>
  <c r="S31" i="6"/>
  <c r="T57" i="6"/>
  <c r="U51" i="6"/>
  <c r="U57" i="6" s="1"/>
  <c r="U60" i="6"/>
  <c r="T27" i="6"/>
  <c r="U26" i="6"/>
  <c r="S31" i="9"/>
  <c r="O4" i="11" s="1"/>
  <c r="U26" i="9"/>
  <c r="T27" i="9"/>
  <c r="T28" i="9" s="1"/>
  <c r="T62" i="9"/>
  <c r="U56" i="9"/>
  <c r="U62" i="9" s="1"/>
  <c r="S67" i="9"/>
  <c r="S69" i="9"/>
  <c r="S70" i="9" s="1"/>
  <c r="O28" i="11" s="1"/>
  <c r="U66" i="9"/>
  <c r="V65" i="9"/>
  <c r="U48" i="8"/>
  <c r="U54" i="8" s="1"/>
  <c r="T54" i="8"/>
  <c r="S26" i="8"/>
  <c r="S28" i="8"/>
  <c r="S29" i="8" s="1"/>
  <c r="T20" i="8"/>
  <c r="U13" i="8"/>
  <c r="U20" i="8" s="1"/>
  <c r="T25" i="8"/>
  <c r="U23" i="8"/>
  <c r="S59" i="8"/>
  <c r="S61" i="8"/>
  <c r="S62" i="8" s="1"/>
  <c r="O33" i="11" s="1"/>
  <c r="U27" i="6" l="1"/>
  <c r="V26" i="6"/>
  <c r="T28" i="6"/>
  <c r="T31" i="6"/>
  <c r="U61" i="6"/>
  <c r="V60" i="6"/>
  <c r="U62" i="6"/>
  <c r="U64" i="6"/>
  <c r="U65" i="6" s="1"/>
  <c r="T62" i="6"/>
  <c r="T64" i="6"/>
  <c r="T65" i="6" s="1"/>
  <c r="V26" i="9"/>
  <c r="U27" i="9"/>
  <c r="T31" i="9"/>
  <c r="P4" i="11" s="1"/>
  <c r="U67" i="9"/>
  <c r="U69" i="9"/>
  <c r="U70" i="9" s="1"/>
  <c r="Q28" i="11" s="1"/>
  <c r="T67" i="9"/>
  <c r="T69" i="9"/>
  <c r="T70" i="9" s="1"/>
  <c r="P28" i="11" s="1"/>
  <c r="T26" i="8"/>
  <c r="T28" i="8"/>
  <c r="T29" i="8" s="1"/>
  <c r="U25" i="8"/>
  <c r="V23" i="8"/>
  <c r="U26" i="8"/>
  <c r="U28" i="8"/>
  <c r="U29" i="8" s="1"/>
  <c r="T59" i="8"/>
  <c r="T61" i="8"/>
  <c r="T62" i="8" s="1"/>
  <c r="P33" i="11" s="1"/>
  <c r="U59" i="8"/>
  <c r="U61" i="8"/>
  <c r="U62" i="8" s="1"/>
  <c r="Q33" i="11" s="1"/>
  <c r="G67" i="6" l="1"/>
  <c r="G66" i="6"/>
  <c r="U28" i="6"/>
  <c r="U31" i="6"/>
  <c r="U28" i="9"/>
  <c r="U31" i="9"/>
  <c r="Q4" i="11" s="1"/>
  <c r="G72" i="9"/>
  <c r="C5" i="1" s="1"/>
  <c r="G71" i="9"/>
  <c r="D6" i="1" s="1"/>
  <c r="G63" i="8"/>
  <c r="D10" i="1" s="1"/>
  <c r="G64" i="8"/>
  <c r="C10" i="1" s="1"/>
  <c r="G31" i="8"/>
  <c r="G30" i="8"/>
  <c r="G33" i="6" l="1"/>
  <c r="G32" i="6"/>
  <c r="G33" i="9"/>
  <c r="E5" i="1" s="1"/>
  <c r="G32" i="9"/>
  <c r="F5" i="1" s="1"/>
  <c r="E61" i="5" l="1"/>
  <c r="H61" i="5" s="1"/>
  <c r="D61" i="5"/>
  <c r="D57" i="5"/>
  <c r="D56" i="5"/>
  <c r="D55" i="5"/>
  <c r="D54" i="5"/>
  <c r="D53" i="5"/>
  <c r="E53" i="5"/>
  <c r="J53" i="5" s="1"/>
  <c r="K53" i="5" s="1"/>
  <c r="L53" i="5" s="1"/>
  <c r="M53" i="5" s="1"/>
  <c r="N53" i="5" s="1"/>
  <c r="O53" i="5" s="1"/>
  <c r="P53" i="5" s="1"/>
  <c r="Q53" i="5" s="1"/>
  <c r="R53" i="5" s="1"/>
  <c r="S53" i="5" s="1"/>
  <c r="T53" i="5" s="1"/>
  <c r="U53" i="5" s="1"/>
  <c r="D52" i="5"/>
  <c r="E24" i="5"/>
  <c r="F24" i="5" s="1"/>
  <c r="F25" i="5" s="1"/>
  <c r="G62" i="5"/>
  <c r="D60" i="5"/>
  <c r="D59" i="5"/>
  <c r="D58" i="5"/>
  <c r="E57" i="5"/>
  <c r="H57" i="5" s="1"/>
  <c r="E56" i="5"/>
  <c r="I56" i="5" s="1"/>
  <c r="E55" i="5"/>
  <c r="F55" i="5" s="1"/>
  <c r="E54" i="5"/>
  <c r="F54" i="5" s="1"/>
  <c r="E52" i="5"/>
  <c r="E51" i="5"/>
  <c r="D51" i="5"/>
  <c r="E50" i="5"/>
  <c r="D50" i="5"/>
  <c r="U49" i="5"/>
  <c r="T49" i="5"/>
  <c r="S49" i="5"/>
  <c r="R49" i="5"/>
  <c r="Q49" i="5"/>
  <c r="O49" i="5"/>
  <c r="N49" i="5"/>
  <c r="M49" i="5"/>
  <c r="L49" i="5"/>
  <c r="K49" i="5"/>
  <c r="J49" i="5"/>
  <c r="I49" i="5"/>
  <c r="H49" i="5"/>
  <c r="E49" i="5"/>
  <c r="D49" i="5"/>
  <c r="E48" i="5"/>
  <c r="D48" i="5"/>
  <c r="P47" i="5"/>
  <c r="P49" i="5" s="1"/>
  <c r="E47" i="5"/>
  <c r="D47" i="5"/>
  <c r="E46" i="5"/>
  <c r="D46" i="5"/>
  <c r="E45" i="5"/>
  <c r="D45" i="5"/>
  <c r="E44" i="5"/>
  <c r="D44" i="5"/>
  <c r="E43" i="5"/>
  <c r="D43" i="5"/>
  <c r="E42" i="5"/>
  <c r="D42" i="5"/>
  <c r="H41" i="5"/>
  <c r="I41" i="5" s="1"/>
  <c r="J41" i="5" s="1"/>
  <c r="K41" i="5" s="1"/>
  <c r="L41" i="5" s="1"/>
  <c r="M41" i="5" s="1"/>
  <c r="N41" i="5" s="1"/>
  <c r="O41" i="5" s="1"/>
  <c r="P41" i="5" s="1"/>
  <c r="F20" i="5"/>
  <c r="J20" i="5" s="1"/>
  <c r="K20" i="5" s="1"/>
  <c r="L20" i="5" s="1"/>
  <c r="M20" i="5" s="1"/>
  <c r="N20" i="5" s="1"/>
  <c r="O20" i="5" s="1"/>
  <c r="P20" i="5" s="1"/>
  <c r="Q20" i="5" s="1"/>
  <c r="R20" i="5" s="1"/>
  <c r="S20" i="5" s="1"/>
  <c r="T20" i="5" s="1"/>
  <c r="U20" i="5" s="1"/>
  <c r="F19" i="5"/>
  <c r="G19" i="5" s="1"/>
  <c r="H19" i="5" s="1"/>
  <c r="I19" i="5" s="1"/>
  <c r="J19" i="5" s="1"/>
  <c r="K19" i="5" s="1"/>
  <c r="L19" i="5" s="1"/>
  <c r="M19" i="5" s="1"/>
  <c r="N19" i="5" s="1"/>
  <c r="O19" i="5" s="1"/>
  <c r="P19" i="5" s="1"/>
  <c r="Q19" i="5" s="1"/>
  <c r="R19" i="5" s="1"/>
  <c r="S19" i="5" s="1"/>
  <c r="T19" i="5" s="1"/>
  <c r="U19" i="5" s="1"/>
  <c r="F18" i="5"/>
  <c r="G18" i="5" s="1"/>
  <c r="J17" i="5"/>
  <c r="K17" i="5" s="1"/>
  <c r="L17" i="5" s="1"/>
  <c r="M17" i="5" s="1"/>
  <c r="N17" i="5" s="1"/>
  <c r="O17" i="5" s="1"/>
  <c r="P17" i="5" s="1"/>
  <c r="Q17" i="5" s="1"/>
  <c r="R17" i="5" s="1"/>
  <c r="S17" i="5" s="1"/>
  <c r="T17" i="5" s="1"/>
  <c r="U17" i="5" s="1"/>
  <c r="I17" i="5"/>
  <c r="H17" i="5"/>
  <c r="F17" i="5"/>
  <c r="G17" i="5" s="1"/>
  <c r="F16" i="5"/>
  <c r="G16" i="5" s="1"/>
  <c r="H15" i="5"/>
  <c r="I15" i="5" s="1"/>
  <c r="F14" i="5"/>
  <c r="F13" i="5"/>
  <c r="U12" i="5"/>
  <c r="S12" i="5"/>
  <c r="R12" i="5"/>
  <c r="N12" i="5"/>
  <c r="M12" i="5"/>
  <c r="K12" i="5"/>
  <c r="J12" i="5"/>
  <c r="I12" i="5"/>
  <c r="G11" i="5"/>
  <c r="F11" i="5"/>
  <c r="P10" i="5"/>
  <c r="P12" i="5" s="1"/>
  <c r="G10" i="5"/>
  <c r="H10" i="5" s="1"/>
  <c r="H12" i="5" s="1"/>
  <c r="F10" i="5"/>
  <c r="F4" i="5"/>
  <c r="G4" i="5" s="1"/>
  <c r="G6" i="5" s="1"/>
  <c r="I3" i="5"/>
  <c r="J3" i="5" s="1"/>
  <c r="K3" i="5" s="1"/>
  <c r="L3" i="5" s="1"/>
  <c r="M3" i="5" s="1"/>
  <c r="N3" i="5" s="1"/>
  <c r="O3" i="5" s="1"/>
  <c r="P3" i="5" s="1"/>
  <c r="H3" i="5"/>
  <c r="F6" i="4"/>
  <c r="J6" i="4" s="1"/>
  <c r="K6" i="4" s="1"/>
  <c r="G59" i="4"/>
  <c r="H58" i="4"/>
  <c r="D58" i="4"/>
  <c r="F58" i="4" s="1"/>
  <c r="F59" i="4" s="1"/>
  <c r="D57" i="4"/>
  <c r="D56" i="4"/>
  <c r="D55" i="4"/>
  <c r="E54" i="4"/>
  <c r="I54" i="4" s="1"/>
  <c r="E53" i="4"/>
  <c r="I53" i="4" s="1"/>
  <c r="E52" i="4"/>
  <c r="F52" i="4" s="1"/>
  <c r="H51" i="4"/>
  <c r="I51" i="4" s="1"/>
  <c r="J51" i="4" s="1"/>
  <c r="K51" i="4" s="1"/>
  <c r="L51" i="4" s="1"/>
  <c r="M51" i="4" s="1"/>
  <c r="N51" i="4" s="1"/>
  <c r="O51" i="4" s="1"/>
  <c r="P51" i="4" s="1"/>
  <c r="Q51" i="4" s="1"/>
  <c r="R51" i="4" s="1"/>
  <c r="S51" i="4" s="1"/>
  <c r="T51" i="4" s="1"/>
  <c r="U51" i="4" s="1"/>
  <c r="F51" i="4"/>
  <c r="G51" i="4" s="1"/>
  <c r="E51" i="4"/>
  <c r="I50" i="4"/>
  <c r="E50" i="4"/>
  <c r="J50" i="4" s="1"/>
  <c r="K50" i="4" s="1"/>
  <c r="L50" i="4" s="1"/>
  <c r="M50" i="4" s="1"/>
  <c r="N50" i="4" s="1"/>
  <c r="O50" i="4" s="1"/>
  <c r="P50" i="4" s="1"/>
  <c r="Q50" i="4" s="1"/>
  <c r="R50" i="4" s="1"/>
  <c r="S50" i="4" s="1"/>
  <c r="T50" i="4" s="1"/>
  <c r="U50" i="4" s="1"/>
  <c r="F49" i="4"/>
  <c r="G49" i="4" s="1"/>
  <c r="E49" i="4"/>
  <c r="E48" i="4"/>
  <c r="D48" i="4"/>
  <c r="F48" i="4" s="1"/>
  <c r="E47" i="4"/>
  <c r="D47" i="4"/>
  <c r="F47" i="4" s="1"/>
  <c r="U46" i="4"/>
  <c r="T46" i="4"/>
  <c r="S46" i="4"/>
  <c r="R46" i="4"/>
  <c r="Q46" i="4"/>
  <c r="O46" i="4"/>
  <c r="N46" i="4"/>
  <c r="M46" i="4"/>
  <c r="L46" i="4"/>
  <c r="K46" i="4"/>
  <c r="J46" i="4"/>
  <c r="I46" i="4"/>
  <c r="H46" i="4"/>
  <c r="E46" i="4"/>
  <c r="D46" i="4"/>
  <c r="E45" i="4"/>
  <c r="D45" i="4"/>
  <c r="P44" i="4"/>
  <c r="P46" i="4" s="1"/>
  <c r="E44" i="4"/>
  <c r="D44" i="4"/>
  <c r="E43" i="4"/>
  <c r="D43" i="4"/>
  <c r="E42" i="4"/>
  <c r="D42" i="4"/>
  <c r="E41" i="4"/>
  <c r="D41" i="4"/>
  <c r="E40" i="4"/>
  <c r="D40" i="4"/>
  <c r="E38" i="4"/>
  <c r="J38" i="4" s="1"/>
  <c r="K38" i="4" s="1"/>
  <c r="L38" i="4" s="1"/>
  <c r="M38" i="4" s="1"/>
  <c r="N38" i="4" s="1"/>
  <c r="O38" i="4" s="1"/>
  <c r="P38" i="4" s="1"/>
  <c r="Q38" i="4" s="1"/>
  <c r="R38" i="4" s="1"/>
  <c r="S38" i="4" s="1"/>
  <c r="T38" i="4" s="1"/>
  <c r="U38" i="4" s="1"/>
  <c r="D38" i="4"/>
  <c r="E37" i="4"/>
  <c r="F37" i="4" s="1"/>
  <c r="I37" i="4" s="1"/>
  <c r="O36" i="4"/>
  <c r="P36" i="4" s="1"/>
  <c r="M36" i="4"/>
  <c r="N36" i="4" s="1"/>
  <c r="I36" i="4"/>
  <c r="J36" i="4" s="1"/>
  <c r="K36" i="4" s="1"/>
  <c r="L36" i="4" s="1"/>
  <c r="H36" i="4"/>
  <c r="E25" i="4"/>
  <c r="H25" i="4" s="1"/>
  <c r="H26" i="4" s="1"/>
  <c r="O21" i="4"/>
  <c r="P21" i="4" s="1"/>
  <c r="Q21" i="4" s="1"/>
  <c r="R21" i="4" s="1"/>
  <c r="S21" i="4" s="1"/>
  <c r="T21" i="4" s="1"/>
  <c r="U21" i="4" s="1"/>
  <c r="M21" i="4"/>
  <c r="N21" i="4" s="1"/>
  <c r="I21" i="4"/>
  <c r="H21" i="4"/>
  <c r="G21" i="4"/>
  <c r="F21" i="4"/>
  <c r="J21" i="4" s="1"/>
  <c r="K21" i="4" s="1"/>
  <c r="L21" i="4" s="1"/>
  <c r="G20" i="4"/>
  <c r="H20" i="4" s="1"/>
  <c r="I20" i="4" s="1"/>
  <c r="J20" i="4" s="1"/>
  <c r="K20" i="4" s="1"/>
  <c r="L20" i="4" s="1"/>
  <c r="M20" i="4" s="1"/>
  <c r="N20" i="4" s="1"/>
  <c r="O20" i="4" s="1"/>
  <c r="P20" i="4" s="1"/>
  <c r="Q20" i="4" s="1"/>
  <c r="R20" i="4" s="1"/>
  <c r="S20" i="4" s="1"/>
  <c r="T20" i="4" s="1"/>
  <c r="U20" i="4" s="1"/>
  <c r="F20" i="4"/>
  <c r="G19" i="4"/>
  <c r="F19" i="4"/>
  <c r="H19" i="4" s="1"/>
  <c r="I19" i="4" s="1"/>
  <c r="J19" i="4" s="1"/>
  <c r="K19" i="4" s="1"/>
  <c r="L19" i="4" s="1"/>
  <c r="M19" i="4" s="1"/>
  <c r="N19" i="4" s="1"/>
  <c r="O19" i="4" s="1"/>
  <c r="P19" i="4" s="1"/>
  <c r="Q19" i="4" s="1"/>
  <c r="R19" i="4" s="1"/>
  <c r="S19" i="4" s="1"/>
  <c r="T19" i="4" s="1"/>
  <c r="U19" i="4" s="1"/>
  <c r="M18" i="4"/>
  <c r="N18" i="4" s="1"/>
  <c r="O18" i="4" s="1"/>
  <c r="P18" i="4" s="1"/>
  <c r="Q18" i="4" s="1"/>
  <c r="R18" i="4" s="1"/>
  <c r="S18" i="4" s="1"/>
  <c r="T18" i="4" s="1"/>
  <c r="U18" i="4" s="1"/>
  <c r="K18" i="4"/>
  <c r="L18" i="4" s="1"/>
  <c r="J18" i="4"/>
  <c r="I18" i="4"/>
  <c r="H18" i="4"/>
  <c r="G18" i="4"/>
  <c r="F16" i="4"/>
  <c r="F15" i="4"/>
  <c r="F14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2" i="4"/>
  <c r="F12" i="4"/>
  <c r="P11" i="4"/>
  <c r="G11" i="4"/>
  <c r="G13" i="4" s="1"/>
  <c r="B7" i="1" s="1"/>
  <c r="F11" i="4"/>
  <c r="J5" i="4"/>
  <c r="K5" i="4" s="1"/>
  <c r="L5" i="4" s="1"/>
  <c r="M5" i="4" s="1"/>
  <c r="N5" i="4" s="1"/>
  <c r="O5" i="4" s="1"/>
  <c r="P5" i="4" s="1"/>
  <c r="Q5" i="4" s="1"/>
  <c r="R5" i="4" s="1"/>
  <c r="S5" i="4" s="1"/>
  <c r="T5" i="4" s="1"/>
  <c r="U5" i="4" s="1"/>
  <c r="I5" i="4"/>
  <c r="H5" i="4"/>
  <c r="F5" i="4"/>
  <c r="G5" i="4" s="1"/>
  <c r="G7" i="4" s="1"/>
  <c r="F4" i="4"/>
  <c r="H3" i="4"/>
  <c r="I3" i="4" s="1"/>
  <c r="J3" i="4" s="1"/>
  <c r="K3" i="4" s="1"/>
  <c r="L3" i="4" s="1"/>
  <c r="M3" i="4" s="1"/>
  <c r="N3" i="4" s="1"/>
  <c r="O3" i="4" s="1"/>
  <c r="P3" i="4" s="1"/>
  <c r="G58" i="3"/>
  <c r="H58" i="3" s="1"/>
  <c r="I58" i="3" s="1"/>
  <c r="J58" i="3" s="1"/>
  <c r="K58" i="3" s="1"/>
  <c r="L58" i="3" s="1"/>
  <c r="M58" i="3" s="1"/>
  <c r="N58" i="3" s="1"/>
  <c r="O58" i="3" s="1"/>
  <c r="P58" i="3" s="1"/>
  <c r="Q58" i="3" s="1"/>
  <c r="R58" i="3" s="1"/>
  <c r="S58" i="3" s="1"/>
  <c r="T58" i="3" s="1"/>
  <c r="U58" i="3" s="1"/>
  <c r="D56" i="3"/>
  <c r="E59" i="3"/>
  <c r="F57" i="3"/>
  <c r="H57" i="3" s="1"/>
  <c r="I57" i="3" s="1"/>
  <c r="J57" i="3" s="1"/>
  <c r="K57" i="3" s="1"/>
  <c r="L57" i="3" s="1"/>
  <c r="M57" i="3" s="1"/>
  <c r="N57" i="3" s="1"/>
  <c r="O57" i="3" s="1"/>
  <c r="P57" i="3" s="1"/>
  <c r="Q57" i="3" s="1"/>
  <c r="R57" i="3" s="1"/>
  <c r="S57" i="3" s="1"/>
  <c r="T57" i="3" s="1"/>
  <c r="U57" i="3" s="1"/>
  <c r="E57" i="3"/>
  <c r="E56" i="3"/>
  <c r="H55" i="3"/>
  <c r="F55" i="3"/>
  <c r="G55" i="3" s="1"/>
  <c r="E55" i="3"/>
  <c r="F54" i="3"/>
  <c r="F53" i="3"/>
  <c r="K52" i="3"/>
  <c r="J52" i="3"/>
  <c r="I52" i="3"/>
  <c r="H52" i="3"/>
  <c r="E51" i="3"/>
  <c r="F51" i="3" s="1"/>
  <c r="E50" i="3"/>
  <c r="G50" i="3" s="1"/>
  <c r="D45" i="3"/>
  <c r="G45" i="3" s="1"/>
  <c r="G46" i="3" s="1"/>
  <c r="E44" i="3"/>
  <c r="D44" i="3"/>
  <c r="J43" i="3"/>
  <c r="K43" i="3" s="1"/>
  <c r="L43" i="3" s="1"/>
  <c r="M43" i="3" s="1"/>
  <c r="N43" i="3" s="1"/>
  <c r="O43" i="3" s="1"/>
  <c r="P43" i="3" s="1"/>
  <c r="I43" i="3"/>
  <c r="H43" i="3"/>
  <c r="E23" i="3"/>
  <c r="F63" i="3" s="1"/>
  <c r="G64" i="3" s="1"/>
  <c r="H64" i="3" s="1"/>
  <c r="G18" i="3"/>
  <c r="H18" i="3" s="1"/>
  <c r="I18" i="3" s="1"/>
  <c r="J18" i="3" s="1"/>
  <c r="K18" i="3" s="1"/>
  <c r="L18" i="3" s="1"/>
  <c r="M18" i="3" s="1"/>
  <c r="N18" i="3" s="1"/>
  <c r="O18" i="3" s="1"/>
  <c r="P18" i="3" s="1"/>
  <c r="Q18" i="3" s="1"/>
  <c r="R18" i="3" s="1"/>
  <c r="S18" i="3" s="1"/>
  <c r="T18" i="3" s="1"/>
  <c r="U18" i="3" s="1"/>
  <c r="H17" i="3"/>
  <c r="I17" i="3" s="1"/>
  <c r="J17" i="3" s="1"/>
  <c r="K17" i="3" s="1"/>
  <c r="L17" i="3" s="1"/>
  <c r="M17" i="3" s="1"/>
  <c r="N17" i="3" s="1"/>
  <c r="O17" i="3" s="1"/>
  <c r="P17" i="3" s="1"/>
  <c r="Q17" i="3" s="1"/>
  <c r="R17" i="3" s="1"/>
  <c r="S17" i="3" s="1"/>
  <c r="T17" i="3" s="1"/>
  <c r="U17" i="3" s="1"/>
  <c r="G17" i="3"/>
  <c r="G57" i="3" s="1"/>
  <c r="F16" i="3"/>
  <c r="G16" i="3" s="1"/>
  <c r="F15" i="3"/>
  <c r="H15" i="3" s="1"/>
  <c r="I15" i="3" s="1"/>
  <c r="F14" i="3"/>
  <c r="F13" i="3"/>
  <c r="K12" i="3"/>
  <c r="J12" i="3"/>
  <c r="I12" i="3"/>
  <c r="H12" i="3"/>
  <c r="F11" i="3"/>
  <c r="G11" i="3" s="1"/>
  <c r="H11" i="3" s="1"/>
  <c r="F10" i="3"/>
  <c r="H5" i="3"/>
  <c r="I5" i="3" s="1"/>
  <c r="J5" i="3" s="1"/>
  <c r="K5" i="3" s="1"/>
  <c r="L5" i="3" s="1"/>
  <c r="M5" i="3" s="1"/>
  <c r="N5" i="3" s="1"/>
  <c r="O5" i="3" s="1"/>
  <c r="P5" i="3" s="1"/>
  <c r="Q5" i="3" s="1"/>
  <c r="R5" i="3" s="1"/>
  <c r="S5" i="3" s="1"/>
  <c r="T5" i="3" s="1"/>
  <c r="U5" i="3" s="1"/>
  <c r="F5" i="3"/>
  <c r="G5" i="3" s="1"/>
  <c r="H3" i="3"/>
  <c r="I3" i="3" s="1"/>
  <c r="J3" i="3" s="1"/>
  <c r="K3" i="3" s="1"/>
  <c r="L3" i="3" s="1"/>
  <c r="M3" i="3" s="1"/>
  <c r="N3" i="3" s="1"/>
  <c r="O3" i="3" s="1"/>
  <c r="P3" i="3" s="1"/>
  <c r="D9" i="2"/>
  <c r="H53" i="4" l="1"/>
  <c r="J53" i="4"/>
  <c r="K53" i="4" s="1"/>
  <c r="L53" i="4" s="1"/>
  <c r="M53" i="4" s="1"/>
  <c r="N53" i="4" s="1"/>
  <c r="O53" i="4" s="1"/>
  <c r="P53" i="4" s="1"/>
  <c r="Q53" i="4" s="1"/>
  <c r="R53" i="4" s="1"/>
  <c r="S53" i="4" s="1"/>
  <c r="T53" i="4" s="1"/>
  <c r="U53" i="4" s="1"/>
  <c r="F53" i="4"/>
  <c r="G53" i="4" s="1"/>
  <c r="F13" i="4"/>
  <c r="F44" i="4"/>
  <c r="F46" i="4" s="1"/>
  <c r="G7" i="1"/>
  <c r="B21" i="1"/>
  <c r="B11" i="1"/>
  <c r="C11" i="11" s="1"/>
  <c r="H38" i="4"/>
  <c r="L6" i="4"/>
  <c r="N6" i="4"/>
  <c r="R6" i="4" s="1"/>
  <c r="I64" i="3"/>
  <c r="H16" i="3"/>
  <c r="I16" i="3" s="1"/>
  <c r="H23" i="3"/>
  <c r="I23" i="3" s="1"/>
  <c r="F50" i="3"/>
  <c r="F23" i="3"/>
  <c r="G23" i="3" s="1"/>
  <c r="G51" i="3"/>
  <c r="G52" i="3" s="1"/>
  <c r="F52" i="3"/>
  <c r="G52" i="5"/>
  <c r="H6" i="3"/>
  <c r="F46" i="3"/>
  <c r="L10" i="5"/>
  <c r="O10" i="5" s="1"/>
  <c r="T10" i="5" s="1"/>
  <c r="T12" i="5" s="1"/>
  <c r="G12" i="5"/>
  <c r="F51" i="5"/>
  <c r="H24" i="5"/>
  <c r="H20" i="5"/>
  <c r="H16" i="5"/>
  <c r="I16" i="5" s="1"/>
  <c r="J16" i="5" s="1"/>
  <c r="K16" i="5" s="1"/>
  <c r="L16" i="5" s="1"/>
  <c r="M16" i="5" s="1"/>
  <c r="N16" i="5" s="1"/>
  <c r="O16" i="5" s="1"/>
  <c r="P16" i="5" s="1"/>
  <c r="Q16" i="5" s="1"/>
  <c r="R16" i="5" s="1"/>
  <c r="S16" i="5" s="1"/>
  <c r="T16" i="5" s="1"/>
  <c r="U16" i="5" s="1"/>
  <c r="F53" i="5"/>
  <c r="G53" i="5" s="1"/>
  <c r="H56" i="5"/>
  <c r="G15" i="5"/>
  <c r="H18" i="5"/>
  <c r="I18" i="5" s="1"/>
  <c r="J18" i="5" s="1"/>
  <c r="K18" i="5" s="1"/>
  <c r="L18" i="5" s="1"/>
  <c r="M18" i="5" s="1"/>
  <c r="N18" i="5" s="1"/>
  <c r="O18" i="5" s="1"/>
  <c r="P18" i="5" s="1"/>
  <c r="Q18" i="5" s="1"/>
  <c r="R18" i="5" s="1"/>
  <c r="S18" i="5" s="1"/>
  <c r="T18" i="5" s="1"/>
  <c r="U18" i="5" s="1"/>
  <c r="G47" i="5"/>
  <c r="J57" i="5"/>
  <c r="K57" i="5" s="1"/>
  <c r="L57" i="5" s="1"/>
  <c r="M57" i="5" s="1"/>
  <c r="N57" i="5" s="1"/>
  <c r="O57" i="5" s="1"/>
  <c r="P57" i="5" s="1"/>
  <c r="Q57" i="5" s="1"/>
  <c r="R57" i="5" s="1"/>
  <c r="S57" i="5" s="1"/>
  <c r="T57" i="5" s="1"/>
  <c r="U57" i="5" s="1"/>
  <c r="G24" i="5"/>
  <c r="G25" i="5" s="1"/>
  <c r="F61" i="5"/>
  <c r="F62" i="5" s="1"/>
  <c r="F47" i="5"/>
  <c r="I57" i="5"/>
  <c r="F12" i="5"/>
  <c r="G20" i="5"/>
  <c r="F56" i="5"/>
  <c r="G56" i="5" s="1"/>
  <c r="F21" i="5"/>
  <c r="I20" i="5"/>
  <c r="G48" i="5"/>
  <c r="J56" i="5"/>
  <c r="K56" i="5" s="1"/>
  <c r="L56" i="5" s="1"/>
  <c r="M56" i="5" s="1"/>
  <c r="N56" i="5" s="1"/>
  <c r="O56" i="5" s="1"/>
  <c r="P56" i="5" s="1"/>
  <c r="Q56" i="5" s="1"/>
  <c r="R56" i="5" s="1"/>
  <c r="S56" i="5" s="1"/>
  <c r="T56" i="5" s="1"/>
  <c r="U56" i="5" s="1"/>
  <c r="F42" i="5"/>
  <c r="J42" i="5" s="1"/>
  <c r="F50" i="5"/>
  <c r="J15" i="5"/>
  <c r="J55" i="5"/>
  <c r="K55" i="5" s="1"/>
  <c r="L55" i="5" s="1"/>
  <c r="M55" i="5" s="1"/>
  <c r="N55" i="5" s="1"/>
  <c r="O55" i="5" s="1"/>
  <c r="P55" i="5" s="1"/>
  <c r="Q55" i="5" s="1"/>
  <c r="R55" i="5" s="1"/>
  <c r="S55" i="5" s="1"/>
  <c r="T55" i="5" s="1"/>
  <c r="U55" i="5" s="1"/>
  <c r="I55" i="5"/>
  <c r="H55" i="5"/>
  <c r="G55" i="5"/>
  <c r="F6" i="5"/>
  <c r="J4" i="5"/>
  <c r="I4" i="5"/>
  <c r="I6" i="5" s="1"/>
  <c r="H4" i="5"/>
  <c r="H6" i="5" s="1"/>
  <c r="H25" i="5"/>
  <c r="I24" i="5"/>
  <c r="I42" i="5"/>
  <c r="H42" i="5"/>
  <c r="H43" i="5" s="1"/>
  <c r="G42" i="5"/>
  <c r="G43" i="5" s="1"/>
  <c r="H54" i="5"/>
  <c r="I54" i="5" s="1"/>
  <c r="J54" i="5" s="1"/>
  <c r="K54" i="5" s="1"/>
  <c r="L54" i="5" s="1"/>
  <c r="M54" i="5" s="1"/>
  <c r="N54" i="5" s="1"/>
  <c r="O54" i="5" s="1"/>
  <c r="P54" i="5" s="1"/>
  <c r="Q54" i="5" s="1"/>
  <c r="R54" i="5" s="1"/>
  <c r="S54" i="5" s="1"/>
  <c r="T54" i="5" s="1"/>
  <c r="U54" i="5" s="1"/>
  <c r="G54" i="5"/>
  <c r="H53" i="5"/>
  <c r="I61" i="5"/>
  <c r="H62" i="5"/>
  <c r="I53" i="5"/>
  <c r="F48" i="5"/>
  <c r="F57" i="5"/>
  <c r="G57" i="5" s="1"/>
  <c r="F25" i="4"/>
  <c r="O6" i="4"/>
  <c r="S6" i="4" s="1"/>
  <c r="I38" i="4"/>
  <c r="I40" i="4" s="1"/>
  <c r="G17" i="4"/>
  <c r="H17" i="4"/>
  <c r="I17" i="4" s="1"/>
  <c r="J17" i="4" s="1"/>
  <c r="K17" i="4" s="1"/>
  <c r="L17" i="4" s="1"/>
  <c r="M17" i="4" s="1"/>
  <c r="N17" i="4" s="1"/>
  <c r="O17" i="4" s="1"/>
  <c r="P17" i="4" s="1"/>
  <c r="Q17" i="4" s="1"/>
  <c r="R17" i="4" s="1"/>
  <c r="S17" i="4" s="1"/>
  <c r="T17" i="4" s="1"/>
  <c r="U17" i="4" s="1"/>
  <c r="H49" i="4"/>
  <c r="J52" i="4"/>
  <c r="K52" i="4" s="1"/>
  <c r="L52" i="4" s="1"/>
  <c r="M52" i="4" s="1"/>
  <c r="N52" i="4" s="1"/>
  <c r="O52" i="4" s="1"/>
  <c r="P52" i="4" s="1"/>
  <c r="Q52" i="4" s="1"/>
  <c r="R52" i="4" s="1"/>
  <c r="S52" i="4" s="1"/>
  <c r="T52" i="4" s="1"/>
  <c r="U52" i="4" s="1"/>
  <c r="I52" i="4"/>
  <c r="H52" i="4"/>
  <c r="G52" i="4"/>
  <c r="G16" i="4"/>
  <c r="F22" i="4"/>
  <c r="H16" i="4"/>
  <c r="G45" i="4"/>
  <c r="F45" i="4"/>
  <c r="I4" i="4"/>
  <c r="I7" i="4" s="1"/>
  <c r="F7" i="4"/>
  <c r="H4" i="4"/>
  <c r="H7" i="4" s="1"/>
  <c r="J4" i="4"/>
  <c r="F26" i="4"/>
  <c r="G25" i="4"/>
  <c r="G26" i="4" s="1"/>
  <c r="I25" i="4"/>
  <c r="G44" i="4"/>
  <c r="G46" i="4" s="1"/>
  <c r="F50" i="4"/>
  <c r="J54" i="4"/>
  <c r="K54" i="4" s="1"/>
  <c r="L54" i="4" s="1"/>
  <c r="M54" i="4" s="1"/>
  <c r="N54" i="4" s="1"/>
  <c r="O54" i="4" s="1"/>
  <c r="P54" i="4" s="1"/>
  <c r="Q54" i="4" s="1"/>
  <c r="R54" i="4" s="1"/>
  <c r="S54" i="4" s="1"/>
  <c r="T54" i="4" s="1"/>
  <c r="U54" i="4" s="1"/>
  <c r="H37" i="4"/>
  <c r="F38" i="4"/>
  <c r="G38" i="4" s="1"/>
  <c r="G40" i="4" s="1"/>
  <c r="H50" i="4"/>
  <c r="I58" i="4"/>
  <c r="H59" i="4"/>
  <c r="J37" i="4"/>
  <c r="F54" i="4"/>
  <c r="G54" i="4" s="1"/>
  <c r="H54" i="4"/>
  <c r="F56" i="3"/>
  <c r="H56" i="3" s="1"/>
  <c r="J56" i="3" s="1"/>
  <c r="G6" i="3"/>
  <c r="G15" i="3"/>
  <c r="I55" i="3"/>
  <c r="I24" i="3"/>
  <c r="J15" i="3"/>
  <c r="F6" i="3"/>
  <c r="F24" i="3"/>
  <c r="H45" i="3"/>
  <c r="J45" i="3" s="1"/>
  <c r="K45" i="3" s="1"/>
  <c r="L45" i="3" s="1"/>
  <c r="M45" i="3" s="1"/>
  <c r="N45" i="3" s="1"/>
  <c r="O45" i="3" s="1"/>
  <c r="P45" i="3" s="1"/>
  <c r="Q45" i="3" s="1"/>
  <c r="R45" i="3" s="1"/>
  <c r="S45" i="3" s="1"/>
  <c r="T45" i="3" s="1"/>
  <c r="U45" i="3" s="1"/>
  <c r="J23" i="3"/>
  <c r="K23" i="3" s="1"/>
  <c r="L23" i="3" s="1"/>
  <c r="M23" i="3" s="1"/>
  <c r="N23" i="3" s="1"/>
  <c r="O23" i="3" s="1"/>
  <c r="P23" i="3" s="1"/>
  <c r="Q23" i="3" s="1"/>
  <c r="R23" i="3" s="1"/>
  <c r="S23" i="3" s="1"/>
  <c r="T23" i="3" s="1"/>
  <c r="U23" i="3" s="1"/>
  <c r="H24" i="3"/>
  <c r="D7" i="2"/>
  <c r="D8" i="2"/>
  <c r="G22" i="4" l="1"/>
  <c r="G29" i="4" s="1"/>
  <c r="G30" i="4" s="1"/>
  <c r="C6" i="11" s="1"/>
  <c r="C10" i="11" s="1"/>
  <c r="C13" i="11" s="1"/>
  <c r="F27" i="4"/>
  <c r="C10" i="18"/>
  <c r="C10" i="19"/>
  <c r="P6" i="4"/>
  <c r="T6" i="4" s="1"/>
  <c r="M6" i="4"/>
  <c r="Q6" i="4" s="1"/>
  <c r="U6" i="4" s="1"/>
  <c r="C35" i="11"/>
  <c r="J64" i="3"/>
  <c r="K64" i="3" s="1"/>
  <c r="L64" i="3" s="1"/>
  <c r="M64" i="3" s="1"/>
  <c r="N64" i="3" s="1"/>
  <c r="O64" i="3" s="1"/>
  <c r="P64" i="3" s="1"/>
  <c r="Q64" i="3" s="1"/>
  <c r="R64" i="3" s="1"/>
  <c r="S64" i="3" s="1"/>
  <c r="T64" i="3" s="1"/>
  <c r="U64" i="3" s="1"/>
  <c r="H44" i="3"/>
  <c r="J16" i="3"/>
  <c r="L16" i="3" s="1"/>
  <c r="V23" i="3"/>
  <c r="H52" i="5"/>
  <c r="I52" i="5" s="1"/>
  <c r="J52" i="5" s="1"/>
  <c r="I56" i="3"/>
  <c r="G56" i="3"/>
  <c r="F20" i="3"/>
  <c r="F25" i="3" s="1"/>
  <c r="F59" i="3"/>
  <c r="F60" i="3" s="1"/>
  <c r="F65" i="3" s="1"/>
  <c r="F49" i="5"/>
  <c r="G21" i="5"/>
  <c r="G26" i="5" s="1"/>
  <c r="H21" i="5"/>
  <c r="H26" i="5" s="1"/>
  <c r="G49" i="5"/>
  <c r="F43" i="5"/>
  <c r="I21" i="5"/>
  <c r="I28" i="5" s="1"/>
  <c r="I29" i="5" s="1"/>
  <c r="I43" i="5"/>
  <c r="G58" i="5"/>
  <c r="F26" i="5"/>
  <c r="I25" i="5"/>
  <c r="J24" i="5"/>
  <c r="F58" i="5"/>
  <c r="F63" i="5" s="1"/>
  <c r="I62" i="5"/>
  <c r="J61" i="5"/>
  <c r="K4" i="5"/>
  <c r="J6" i="5"/>
  <c r="J43" i="5"/>
  <c r="K42" i="5"/>
  <c r="I58" i="5"/>
  <c r="K15" i="5"/>
  <c r="J21" i="5"/>
  <c r="G27" i="4"/>
  <c r="I59" i="4"/>
  <c r="J58" i="4"/>
  <c r="F40" i="4"/>
  <c r="I26" i="4"/>
  <c r="J25" i="4"/>
  <c r="H22" i="4"/>
  <c r="H27" i="4" s="1"/>
  <c r="I16" i="4"/>
  <c r="F55" i="4"/>
  <c r="F60" i="4" s="1"/>
  <c r="G50" i="4"/>
  <c r="G55" i="4" s="1"/>
  <c r="G62" i="4" s="1"/>
  <c r="G63" i="4" s="1"/>
  <c r="C30" i="11" s="1"/>
  <c r="J7" i="4"/>
  <c r="K4" i="4"/>
  <c r="K37" i="4"/>
  <c r="J40" i="4"/>
  <c r="H55" i="4"/>
  <c r="H60" i="4" s="1"/>
  <c r="I49" i="4"/>
  <c r="L56" i="3"/>
  <c r="K56" i="3"/>
  <c r="G24" i="3"/>
  <c r="H19" i="3"/>
  <c r="G19" i="3"/>
  <c r="G59" i="3" s="1"/>
  <c r="H59" i="3" s="1"/>
  <c r="J55" i="3"/>
  <c r="K15" i="3"/>
  <c r="J24" i="3"/>
  <c r="I6" i="3"/>
  <c r="H29" i="4" l="1"/>
  <c r="G60" i="4"/>
  <c r="H62" i="4"/>
  <c r="H63" i="4" s="1"/>
  <c r="D30" i="11" s="1"/>
  <c r="F13" i="18"/>
  <c r="H49" i="18"/>
  <c r="L49" i="18"/>
  <c r="C49" i="18"/>
  <c r="C52" i="18" s="1"/>
  <c r="O49" i="18"/>
  <c r="J49" i="18"/>
  <c r="I13" i="18"/>
  <c r="M13" i="18"/>
  <c r="O13" i="18"/>
  <c r="J13" i="18"/>
  <c r="F49" i="18"/>
  <c r="P13" i="18"/>
  <c r="L13" i="18"/>
  <c r="K13" i="18"/>
  <c r="H13" i="18"/>
  <c r="D49" i="18"/>
  <c r="E49" i="18"/>
  <c r="N13" i="18"/>
  <c r="Q13" i="18"/>
  <c r="M49" i="18"/>
  <c r="G13" i="18"/>
  <c r="G49" i="18"/>
  <c r="C47" i="18"/>
  <c r="N49" i="18"/>
  <c r="C13" i="18"/>
  <c r="Q49" i="18"/>
  <c r="D13" i="18"/>
  <c r="P49" i="18"/>
  <c r="I49" i="18"/>
  <c r="K49" i="18"/>
  <c r="E13" i="18"/>
  <c r="C34" i="19"/>
  <c r="N13" i="19"/>
  <c r="G36" i="19"/>
  <c r="N36" i="19"/>
  <c r="O13" i="19"/>
  <c r="L36" i="19"/>
  <c r="F36" i="19"/>
  <c r="E36" i="19"/>
  <c r="Q36" i="19"/>
  <c r="M36" i="19"/>
  <c r="K13" i="19"/>
  <c r="Q13" i="19"/>
  <c r="J36" i="19"/>
  <c r="H13" i="19"/>
  <c r="G13" i="19"/>
  <c r="C13" i="19"/>
  <c r="I36" i="19"/>
  <c r="D13" i="19"/>
  <c r="H36" i="19"/>
  <c r="F13" i="19"/>
  <c r="M13" i="19"/>
  <c r="I13" i="19"/>
  <c r="J13" i="19"/>
  <c r="P13" i="19"/>
  <c r="L13" i="19"/>
  <c r="C36" i="19"/>
  <c r="E13" i="19"/>
  <c r="K36" i="19"/>
  <c r="D36" i="19"/>
  <c r="P36" i="19"/>
  <c r="O36" i="19"/>
  <c r="H30" i="4"/>
  <c r="D6" i="11" s="1"/>
  <c r="D10" i="11" s="1"/>
  <c r="D13" i="11" s="1"/>
  <c r="C12" i="18"/>
  <c r="C12" i="19"/>
  <c r="C19" i="19" s="1"/>
  <c r="H46" i="3"/>
  <c r="K16" i="3"/>
  <c r="H58" i="5"/>
  <c r="H63" i="5" s="1"/>
  <c r="H28" i="5"/>
  <c r="H29" i="5" s="1"/>
  <c r="G28" i="5"/>
  <c r="G29" i="5" s="1"/>
  <c r="G20" i="3"/>
  <c r="G25" i="3" s="1"/>
  <c r="I65" i="5"/>
  <c r="I66" i="5" s="1"/>
  <c r="G63" i="5"/>
  <c r="G65" i="5"/>
  <c r="G66" i="5" s="1"/>
  <c r="I26" i="5"/>
  <c r="J28" i="5"/>
  <c r="K52" i="5"/>
  <c r="J58" i="5"/>
  <c r="J65" i="5" s="1"/>
  <c r="J66" i="5" s="1"/>
  <c r="K43" i="5"/>
  <c r="L42" i="5"/>
  <c r="J25" i="5"/>
  <c r="K24" i="5"/>
  <c r="J62" i="5"/>
  <c r="K61" i="5"/>
  <c r="L15" i="5"/>
  <c r="K21" i="5"/>
  <c r="L4" i="5"/>
  <c r="K6" i="5"/>
  <c r="I63" i="5"/>
  <c r="J26" i="4"/>
  <c r="K25" i="4"/>
  <c r="I22" i="4"/>
  <c r="J16" i="4"/>
  <c r="I55" i="4"/>
  <c r="J49" i="4"/>
  <c r="L37" i="4"/>
  <c r="K40" i="4"/>
  <c r="J59" i="4"/>
  <c r="K58" i="4"/>
  <c r="L4" i="4"/>
  <c r="K7" i="4"/>
  <c r="I19" i="3"/>
  <c r="H20" i="3"/>
  <c r="H25" i="3" s="1"/>
  <c r="K55" i="3"/>
  <c r="I59" i="3"/>
  <c r="H60" i="3"/>
  <c r="H65" i="3" s="1"/>
  <c r="J44" i="3"/>
  <c r="I46" i="3"/>
  <c r="L15" i="3"/>
  <c r="K24" i="3"/>
  <c r="M16" i="3"/>
  <c r="N16" i="3"/>
  <c r="J6" i="3"/>
  <c r="K4" i="3"/>
  <c r="N56" i="3"/>
  <c r="M56" i="3"/>
  <c r="G60" i="3"/>
  <c r="C14" i="18" l="1"/>
  <c r="E78" i="18" s="1"/>
  <c r="C15" i="18"/>
  <c r="F78" i="18" s="1"/>
  <c r="C19" i="18"/>
  <c r="C34" i="18" s="1"/>
  <c r="C14" i="19"/>
  <c r="C15" i="19"/>
  <c r="C40" i="19"/>
  <c r="C44" i="19" s="1"/>
  <c r="C57" i="18" s="1"/>
  <c r="C39" i="19"/>
  <c r="D78" i="18"/>
  <c r="C53" i="18"/>
  <c r="G78" i="18" s="1"/>
  <c r="D12" i="19"/>
  <c r="D19" i="19" s="1"/>
  <c r="D12" i="18"/>
  <c r="D19" i="18" s="1"/>
  <c r="D34" i="18" s="1"/>
  <c r="C22" i="11"/>
  <c r="C49" i="11"/>
  <c r="H65" i="5"/>
  <c r="H66" i="5" s="1"/>
  <c r="K28" i="5"/>
  <c r="J63" i="5"/>
  <c r="J29" i="5"/>
  <c r="J26" i="5"/>
  <c r="M4" i="5"/>
  <c r="L6" i="5"/>
  <c r="M15" i="5"/>
  <c r="L21" i="5"/>
  <c r="L43" i="5"/>
  <c r="M42" i="5"/>
  <c r="K62" i="5"/>
  <c r="L61" i="5"/>
  <c r="K25" i="5"/>
  <c r="L24" i="5"/>
  <c r="L52" i="5"/>
  <c r="K58" i="5"/>
  <c r="K16" i="4"/>
  <c r="J22" i="4"/>
  <c r="K59" i="4"/>
  <c r="L58" i="4"/>
  <c r="I27" i="4"/>
  <c r="I29" i="4"/>
  <c r="K26" i="4"/>
  <c r="L25" i="4"/>
  <c r="L7" i="4"/>
  <c r="M4" i="4"/>
  <c r="K49" i="4"/>
  <c r="J55" i="4"/>
  <c r="I62" i="4"/>
  <c r="I63" i="4" s="1"/>
  <c r="E30" i="11" s="1"/>
  <c r="I60" i="4"/>
  <c r="M37" i="4"/>
  <c r="L40" i="4"/>
  <c r="L4" i="3"/>
  <c r="K6" i="3"/>
  <c r="O16" i="3"/>
  <c r="P16" i="3"/>
  <c r="G65" i="3"/>
  <c r="L24" i="3"/>
  <c r="M15" i="3"/>
  <c r="J59" i="3"/>
  <c r="I60" i="3"/>
  <c r="I65" i="3" s="1"/>
  <c r="J46" i="3"/>
  <c r="K44" i="3"/>
  <c r="L55" i="3"/>
  <c r="P56" i="3"/>
  <c r="O56" i="3"/>
  <c r="J19" i="3"/>
  <c r="I20" i="3"/>
  <c r="I27" i="3" s="1"/>
  <c r="D23" i="18" l="1"/>
  <c r="I30" i="4"/>
  <c r="E6" i="11" s="1"/>
  <c r="E10" i="11" s="1"/>
  <c r="E13" i="11" s="1"/>
  <c r="K29" i="5"/>
  <c r="I67" i="3"/>
  <c r="L28" i="5"/>
  <c r="L62" i="5"/>
  <c r="M61" i="5"/>
  <c r="M6" i="5"/>
  <c r="N4" i="5"/>
  <c r="L25" i="5"/>
  <c r="M24" i="5"/>
  <c r="K63" i="5"/>
  <c r="M43" i="5"/>
  <c r="N42" i="5"/>
  <c r="N15" i="5"/>
  <c r="M21" i="5"/>
  <c r="K26" i="5"/>
  <c r="M52" i="5"/>
  <c r="L58" i="5"/>
  <c r="L65" i="5" s="1"/>
  <c r="L66" i="5" s="1"/>
  <c r="K65" i="5"/>
  <c r="K66" i="5" s="1"/>
  <c r="J60" i="4"/>
  <c r="J62" i="4"/>
  <c r="J63" i="4" s="1"/>
  <c r="F30" i="11" s="1"/>
  <c r="L59" i="4"/>
  <c r="M58" i="4"/>
  <c r="L49" i="4"/>
  <c r="K55" i="4"/>
  <c r="M40" i="4"/>
  <c r="N37" i="4"/>
  <c r="J27" i="4"/>
  <c r="J29" i="4"/>
  <c r="J30" i="4" s="1"/>
  <c r="F6" i="11" s="1"/>
  <c r="F10" i="11" s="1"/>
  <c r="F13" i="11" s="1"/>
  <c r="N4" i="4"/>
  <c r="M7" i="4"/>
  <c r="L26" i="4"/>
  <c r="M25" i="4"/>
  <c r="K22" i="4"/>
  <c r="L16" i="4"/>
  <c r="K19" i="3"/>
  <c r="J20" i="3"/>
  <c r="Q16" i="3"/>
  <c r="R16" i="3"/>
  <c r="K46" i="3"/>
  <c r="L44" i="3"/>
  <c r="K59" i="3"/>
  <c r="J60" i="3"/>
  <c r="J65" i="3" s="1"/>
  <c r="R56" i="3"/>
  <c r="Q56" i="3"/>
  <c r="M24" i="3"/>
  <c r="N15" i="3"/>
  <c r="L6" i="3"/>
  <c r="M4" i="3"/>
  <c r="I25" i="3"/>
  <c r="M55" i="3"/>
  <c r="E12" i="19" l="1"/>
  <c r="E19" i="19" s="1"/>
  <c r="E12" i="18"/>
  <c r="E19" i="18" s="1"/>
  <c r="E23" i="18" s="1"/>
  <c r="F12" i="18"/>
  <c r="F19" i="18" s="1"/>
  <c r="F12" i="19"/>
  <c r="F19" i="19" s="1"/>
  <c r="E29" i="11"/>
  <c r="E34" i="11" s="1"/>
  <c r="E37" i="11" s="1"/>
  <c r="H68" i="3"/>
  <c r="I28" i="3"/>
  <c r="L29" i="5"/>
  <c r="M28" i="5"/>
  <c r="L63" i="5"/>
  <c r="N43" i="5"/>
  <c r="O42" i="5"/>
  <c r="L26" i="5"/>
  <c r="M62" i="5"/>
  <c r="N61" i="5"/>
  <c r="N52" i="5"/>
  <c r="M58" i="5"/>
  <c r="M25" i="5"/>
  <c r="M26" i="5" s="1"/>
  <c r="N24" i="5"/>
  <c r="O15" i="5"/>
  <c r="N21" i="5"/>
  <c r="N6" i="5"/>
  <c r="O4" i="5"/>
  <c r="K27" i="4"/>
  <c r="K29" i="4"/>
  <c r="K30" i="4" s="1"/>
  <c r="G6" i="11" s="1"/>
  <c r="G10" i="11" s="1"/>
  <c r="G13" i="11" s="1"/>
  <c r="N7" i="4"/>
  <c r="O4" i="4"/>
  <c r="K60" i="4"/>
  <c r="K62" i="4"/>
  <c r="K63" i="4" s="1"/>
  <c r="G30" i="11" s="1"/>
  <c r="M16" i="4"/>
  <c r="L22" i="4"/>
  <c r="M49" i="4"/>
  <c r="L55" i="4"/>
  <c r="M59" i="4"/>
  <c r="N58" i="4"/>
  <c r="M26" i="4"/>
  <c r="N25" i="4"/>
  <c r="N40" i="4"/>
  <c r="O37" i="4"/>
  <c r="M44" i="3"/>
  <c r="L46" i="3"/>
  <c r="L59" i="3"/>
  <c r="K60" i="3"/>
  <c r="K65" i="3" s="1"/>
  <c r="T56" i="3"/>
  <c r="U56" i="3" s="1"/>
  <c r="S56" i="3"/>
  <c r="N4" i="3"/>
  <c r="M6" i="3"/>
  <c r="T16" i="3"/>
  <c r="U16" i="3" s="1"/>
  <c r="S16" i="3"/>
  <c r="O15" i="3"/>
  <c r="N24" i="3"/>
  <c r="J67" i="3"/>
  <c r="J68" i="3" s="1"/>
  <c r="F29" i="11" s="1"/>
  <c r="F34" i="11" s="1"/>
  <c r="F37" i="11" s="1"/>
  <c r="N55" i="3"/>
  <c r="J25" i="3"/>
  <c r="J27" i="3"/>
  <c r="L19" i="3"/>
  <c r="K20" i="3"/>
  <c r="E34" i="18" l="1"/>
  <c r="G12" i="18"/>
  <c r="G19" i="18" s="1"/>
  <c r="G12" i="19"/>
  <c r="G19" i="19" s="1"/>
  <c r="F23" i="18"/>
  <c r="F28" i="18"/>
  <c r="F34" i="18"/>
  <c r="F50" i="18"/>
  <c r="F37" i="19"/>
  <c r="F38" i="19" s="1"/>
  <c r="F51" i="18" s="1"/>
  <c r="D29" i="11"/>
  <c r="D34" i="11" s="1"/>
  <c r="D37" i="11" s="1"/>
  <c r="G68" i="3"/>
  <c r="C29" i="11" s="1"/>
  <c r="C34" i="11" s="1"/>
  <c r="C37" i="11" s="1"/>
  <c r="E37" i="19"/>
  <c r="E38" i="19" s="1"/>
  <c r="E51" i="18" s="1"/>
  <c r="E60" i="18" s="1"/>
  <c r="E50" i="18"/>
  <c r="J28" i="3"/>
  <c r="H28" i="3"/>
  <c r="G28" i="3" s="1"/>
  <c r="M29" i="5"/>
  <c r="M63" i="5"/>
  <c r="P42" i="5"/>
  <c r="O43" i="5"/>
  <c r="O24" i="5"/>
  <c r="N25" i="5"/>
  <c r="N26" i="5" s="1"/>
  <c r="M65" i="5"/>
  <c r="M66" i="5" s="1"/>
  <c r="O21" i="5"/>
  <c r="P15" i="5"/>
  <c r="P4" i="5"/>
  <c r="O6" i="5"/>
  <c r="N28" i="5"/>
  <c r="N58" i="5"/>
  <c r="O52" i="5"/>
  <c r="O61" i="5"/>
  <c r="N62" i="5"/>
  <c r="N26" i="4"/>
  <c r="O25" i="4"/>
  <c r="M22" i="4"/>
  <c r="N16" i="4"/>
  <c r="N59" i="4"/>
  <c r="O58" i="4"/>
  <c r="L60" i="4"/>
  <c r="L62" i="4"/>
  <c r="L63" i="4" s="1"/>
  <c r="H30" i="11" s="1"/>
  <c r="P4" i="4"/>
  <c r="O7" i="4"/>
  <c r="P37" i="4"/>
  <c r="O40" i="4"/>
  <c r="N49" i="4"/>
  <c r="M55" i="4"/>
  <c r="L27" i="4"/>
  <c r="L29" i="4"/>
  <c r="L30" i="4" s="1"/>
  <c r="H6" i="11" s="1"/>
  <c r="H10" i="11" s="1"/>
  <c r="H13" i="11" s="1"/>
  <c r="O55" i="3"/>
  <c r="M59" i="3"/>
  <c r="L60" i="3"/>
  <c r="L65" i="3" s="1"/>
  <c r="K25" i="3"/>
  <c r="K27" i="3"/>
  <c r="K28" i="3" s="1"/>
  <c r="M46" i="3"/>
  <c r="N44" i="3"/>
  <c r="O24" i="3"/>
  <c r="P15" i="3"/>
  <c r="O4" i="3"/>
  <c r="N6" i="3"/>
  <c r="K67" i="3"/>
  <c r="K68" i="3" s="1"/>
  <c r="G29" i="11" s="1"/>
  <c r="G34" i="11" s="1"/>
  <c r="G37" i="11" s="1"/>
  <c r="M19" i="3"/>
  <c r="L20" i="3"/>
  <c r="F60" i="18" l="1"/>
  <c r="F65" i="18"/>
  <c r="G34" i="18"/>
  <c r="G23" i="18"/>
  <c r="G28" i="18"/>
  <c r="H12" i="19"/>
  <c r="H19" i="19" s="1"/>
  <c r="H12" i="18"/>
  <c r="H19" i="18" s="1"/>
  <c r="C50" i="18"/>
  <c r="C37" i="19"/>
  <c r="C38" i="19" s="1"/>
  <c r="E71" i="18"/>
  <c r="G50" i="18"/>
  <c r="G37" i="19"/>
  <c r="G38" i="19" s="1"/>
  <c r="G51" i="18" s="1"/>
  <c r="G60" i="18" s="1"/>
  <c r="D37" i="19"/>
  <c r="D38" i="19" s="1"/>
  <c r="D51" i="18" s="1"/>
  <c r="D60" i="18" s="1"/>
  <c r="D50" i="18"/>
  <c r="F71" i="18"/>
  <c r="L67" i="3"/>
  <c r="L68" i="3" s="1"/>
  <c r="H29" i="11" s="1"/>
  <c r="H34" i="11" s="1"/>
  <c r="H37" i="11" s="1"/>
  <c r="Q4" i="5"/>
  <c r="P6" i="5"/>
  <c r="O62" i="5"/>
  <c r="P61" i="5"/>
  <c r="O58" i="5"/>
  <c r="P52" i="5"/>
  <c r="P21" i="5"/>
  <c r="Q15" i="5"/>
  <c r="N63" i="5"/>
  <c r="N29" i="5"/>
  <c r="P24" i="5"/>
  <c r="O25" i="5"/>
  <c r="O26" i="5" s="1"/>
  <c r="N65" i="5"/>
  <c r="N66" i="5" s="1"/>
  <c r="O28" i="5"/>
  <c r="Q42" i="5"/>
  <c r="P43" i="5"/>
  <c r="M60" i="4"/>
  <c r="M62" i="4"/>
  <c r="M63" i="4" s="1"/>
  <c r="I30" i="11" s="1"/>
  <c r="N55" i="4"/>
  <c r="O49" i="4"/>
  <c r="P40" i="4"/>
  <c r="Q37" i="4"/>
  <c r="O59" i="4"/>
  <c r="P58" i="4"/>
  <c r="P7" i="4"/>
  <c r="Q4" i="4"/>
  <c r="O16" i="4"/>
  <c r="N22" i="4"/>
  <c r="M27" i="4"/>
  <c r="M29" i="4"/>
  <c r="M30" i="4" s="1"/>
  <c r="I6" i="11" s="1"/>
  <c r="I10" i="11" s="1"/>
  <c r="I13" i="11" s="1"/>
  <c r="O26" i="4"/>
  <c r="P25" i="4"/>
  <c r="L25" i="3"/>
  <c r="L27" i="3"/>
  <c r="L28" i="3" s="1"/>
  <c r="N46" i="3"/>
  <c r="O44" i="3"/>
  <c r="O6" i="3"/>
  <c r="P4" i="3"/>
  <c r="N19" i="3"/>
  <c r="M20" i="3"/>
  <c r="N59" i="3"/>
  <c r="M60" i="3"/>
  <c r="M65" i="3" s="1"/>
  <c r="Q15" i="3"/>
  <c r="P24" i="3"/>
  <c r="P55" i="3"/>
  <c r="G65" i="18" l="1"/>
  <c r="C51" i="18"/>
  <c r="C60" i="18" s="1"/>
  <c r="H23" i="18"/>
  <c r="H28" i="18"/>
  <c r="H34" i="18"/>
  <c r="I12" i="18"/>
  <c r="I19" i="18" s="1"/>
  <c r="I12" i="19"/>
  <c r="I19" i="19" s="1"/>
  <c r="G71" i="18"/>
  <c r="H50" i="18"/>
  <c r="H37" i="19"/>
  <c r="H38" i="19" s="1"/>
  <c r="H51" i="18" s="1"/>
  <c r="H60" i="18" s="1"/>
  <c r="D71" i="18"/>
  <c r="C71" i="18"/>
  <c r="C65" i="18"/>
  <c r="O63" i="5"/>
  <c r="P58" i="5"/>
  <c r="P65" i="5" s="1"/>
  <c r="Q52" i="5"/>
  <c r="P62" i="5"/>
  <c r="Q61" i="5"/>
  <c r="P25" i="5"/>
  <c r="P26" i="5" s="1"/>
  <c r="Q24" i="5"/>
  <c r="O65" i="5"/>
  <c r="O66" i="5" s="1"/>
  <c r="R42" i="5"/>
  <c r="Q43" i="5"/>
  <c r="R15" i="5"/>
  <c r="Q21" i="5"/>
  <c r="O29" i="5"/>
  <c r="P28" i="5"/>
  <c r="P29" i="5" s="1"/>
  <c r="R4" i="5"/>
  <c r="Q6" i="5"/>
  <c r="N27" i="4"/>
  <c r="N29" i="4"/>
  <c r="N30" i="4" s="1"/>
  <c r="J6" i="11" s="1"/>
  <c r="J10" i="11" s="1"/>
  <c r="J13" i="11" s="1"/>
  <c r="R37" i="4"/>
  <c r="Q40" i="4"/>
  <c r="P16" i="4"/>
  <c r="O22" i="4"/>
  <c r="O55" i="4"/>
  <c r="P49" i="4"/>
  <c r="P59" i="4"/>
  <c r="Q58" i="4"/>
  <c r="R4" i="4"/>
  <c r="Q7" i="4"/>
  <c r="P26" i="4"/>
  <c r="Q25" i="4"/>
  <c r="N60" i="4"/>
  <c r="N62" i="4"/>
  <c r="N63" i="4" s="1"/>
  <c r="J30" i="11" s="1"/>
  <c r="M67" i="3"/>
  <c r="M68" i="3" s="1"/>
  <c r="I29" i="11" s="1"/>
  <c r="I34" i="11" s="1"/>
  <c r="I37" i="11" s="1"/>
  <c r="Q55" i="3"/>
  <c r="O46" i="3"/>
  <c r="P44" i="3"/>
  <c r="O59" i="3"/>
  <c r="N60" i="3"/>
  <c r="N65" i="3" s="1"/>
  <c r="M25" i="3"/>
  <c r="M27" i="3"/>
  <c r="M28" i="3" s="1"/>
  <c r="O19" i="3"/>
  <c r="N20" i="3"/>
  <c r="Q24" i="3"/>
  <c r="R15" i="3"/>
  <c r="P6" i="3"/>
  <c r="Q4" i="3"/>
  <c r="I23" i="18" l="1"/>
  <c r="I34" i="18"/>
  <c r="I28" i="18"/>
  <c r="J12" i="19"/>
  <c r="J19" i="19" s="1"/>
  <c r="J12" i="18"/>
  <c r="J19" i="18" s="1"/>
  <c r="I37" i="19"/>
  <c r="I38" i="19" s="1"/>
  <c r="I51" i="18" s="1"/>
  <c r="I60" i="18" s="1"/>
  <c r="I50" i="18"/>
  <c r="H65" i="18"/>
  <c r="H71" i="18"/>
  <c r="N67" i="3"/>
  <c r="N68" i="3" s="1"/>
  <c r="P66" i="5"/>
  <c r="R43" i="5"/>
  <c r="S42" i="5"/>
  <c r="S4" i="5"/>
  <c r="R6" i="5"/>
  <c r="Q25" i="5"/>
  <c r="Q26" i="5" s="1"/>
  <c r="R24" i="5"/>
  <c r="S15" i="5"/>
  <c r="R21" i="5"/>
  <c r="Q62" i="5"/>
  <c r="R61" i="5"/>
  <c r="R52" i="5"/>
  <c r="Q58" i="5"/>
  <c r="Q28" i="5"/>
  <c r="P63" i="5"/>
  <c r="O27" i="4"/>
  <c r="O29" i="4"/>
  <c r="O30" i="4" s="1"/>
  <c r="K6" i="11" s="1"/>
  <c r="K10" i="11" s="1"/>
  <c r="K13" i="11" s="1"/>
  <c r="P22" i="4"/>
  <c r="Q16" i="4"/>
  <c r="S37" i="4"/>
  <c r="R40" i="4"/>
  <c r="R7" i="4"/>
  <c r="S4" i="4"/>
  <c r="Q59" i="4"/>
  <c r="R58" i="4"/>
  <c r="O60" i="4"/>
  <c r="O62" i="4"/>
  <c r="O63" i="4" s="1"/>
  <c r="K30" i="11" s="1"/>
  <c r="Q26" i="4"/>
  <c r="R25" i="4"/>
  <c r="P55" i="4"/>
  <c r="Q49" i="4"/>
  <c r="R55" i="3"/>
  <c r="P19" i="3"/>
  <c r="O20" i="3"/>
  <c r="N25" i="3"/>
  <c r="N27" i="3"/>
  <c r="N28" i="3" s="1"/>
  <c r="R4" i="3"/>
  <c r="Q6" i="3"/>
  <c r="R24" i="3"/>
  <c r="S15" i="3"/>
  <c r="P59" i="3"/>
  <c r="O60" i="3"/>
  <c r="O65" i="3" s="1"/>
  <c r="Q44" i="3"/>
  <c r="P46" i="3"/>
  <c r="K12" i="18" l="1"/>
  <c r="K19" i="18" s="1"/>
  <c r="K12" i="19"/>
  <c r="K19" i="19" s="1"/>
  <c r="J23" i="18"/>
  <c r="J28" i="18"/>
  <c r="J34" i="18"/>
  <c r="J29" i="11"/>
  <c r="J34" i="11" s="1"/>
  <c r="J37" i="11" s="1"/>
  <c r="O68" i="3"/>
  <c r="I65" i="18"/>
  <c r="I71" i="18"/>
  <c r="Q29" i="5"/>
  <c r="Q63" i="5"/>
  <c r="R28" i="5"/>
  <c r="T15" i="5"/>
  <c r="S21" i="5"/>
  <c r="S52" i="5"/>
  <c r="R58" i="5"/>
  <c r="R65" i="5" s="1"/>
  <c r="Q65" i="5"/>
  <c r="Q66" i="5" s="1"/>
  <c r="T4" i="5"/>
  <c r="S6" i="5"/>
  <c r="R62" i="5"/>
  <c r="S61" i="5"/>
  <c r="S43" i="5"/>
  <c r="T42" i="5"/>
  <c r="R25" i="5"/>
  <c r="R26" i="5" s="1"/>
  <c r="S24" i="5"/>
  <c r="T37" i="4"/>
  <c r="S40" i="4"/>
  <c r="P27" i="4"/>
  <c r="P29" i="4"/>
  <c r="P30" i="4" s="1"/>
  <c r="L6" i="11" s="1"/>
  <c r="L10" i="11" s="1"/>
  <c r="L13" i="11" s="1"/>
  <c r="R59" i="4"/>
  <c r="S58" i="4"/>
  <c r="Q22" i="4"/>
  <c r="R16" i="4"/>
  <c r="Q55" i="4"/>
  <c r="R49" i="4"/>
  <c r="P60" i="4"/>
  <c r="P62" i="4"/>
  <c r="P63" i="4" s="1"/>
  <c r="L30" i="11" s="1"/>
  <c r="T4" i="4"/>
  <c r="S7" i="4"/>
  <c r="R26" i="4"/>
  <c r="S25" i="4"/>
  <c r="T15" i="3"/>
  <c r="S24" i="3"/>
  <c r="Q19" i="3"/>
  <c r="P20" i="3"/>
  <c r="Q59" i="3"/>
  <c r="P60" i="3"/>
  <c r="P65" i="3" s="1"/>
  <c r="O67" i="3"/>
  <c r="O25" i="3"/>
  <c r="O27" i="3"/>
  <c r="O28" i="3" s="1"/>
  <c r="R44" i="3"/>
  <c r="Q46" i="3"/>
  <c r="R6" i="3"/>
  <c r="S4" i="3"/>
  <c r="S55" i="3"/>
  <c r="L12" i="18" l="1"/>
  <c r="L19" i="18" s="1"/>
  <c r="L12" i="19"/>
  <c r="L19" i="19" s="1"/>
  <c r="K34" i="18"/>
  <c r="K23" i="18"/>
  <c r="K28" i="18"/>
  <c r="J50" i="18"/>
  <c r="J37" i="19"/>
  <c r="J38" i="19" s="1"/>
  <c r="K29" i="11"/>
  <c r="K34" i="11" s="1"/>
  <c r="K37" i="11" s="1"/>
  <c r="P68" i="3"/>
  <c r="S28" i="5"/>
  <c r="R29" i="5"/>
  <c r="R66" i="5"/>
  <c r="U15" i="5"/>
  <c r="U21" i="5" s="1"/>
  <c r="T21" i="5"/>
  <c r="S25" i="5"/>
  <c r="T24" i="5"/>
  <c r="U4" i="5"/>
  <c r="U6" i="5" s="1"/>
  <c r="T6" i="5"/>
  <c r="T43" i="5"/>
  <c r="U42" i="5"/>
  <c r="U43" i="5" s="1"/>
  <c r="R63" i="5"/>
  <c r="T52" i="5"/>
  <c r="S58" i="5"/>
  <c r="S65" i="5" s="1"/>
  <c r="S62" i="5"/>
  <c r="T61" i="5"/>
  <c r="T7" i="4"/>
  <c r="U4" i="4"/>
  <c r="U7" i="4" s="1"/>
  <c r="S49" i="4"/>
  <c r="R55" i="4"/>
  <c r="S26" i="4"/>
  <c r="T25" i="4"/>
  <c r="Q27" i="4"/>
  <c r="Q29" i="4"/>
  <c r="Q30" i="4" s="1"/>
  <c r="M6" i="11" s="1"/>
  <c r="M10" i="11" s="1"/>
  <c r="M13" i="11" s="1"/>
  <c r="S59" i="4"/>
  <c r="T58" i="4"/>
  <c r="Q60" i="4"/>
  <c r="Q62" i="4"/>
  <c r="Q63" i="4" s="1"/>
  <c r="M30" i="11" s="1"/>
  <c r="U37" i="4"/>
  <c r="U40" i="4" s="1"/>
  <c r="T40" i="4"/>
  <c r="S16" i="4"/>
  <c r="R22" i="4"/>
  <c r="R59" i="3"/>
  <c r="Q60" i="3"/>
  <c r="Q65" i="3" s="1"/>
  <c r="P25" i="3"/>
  <c r="P27" i="3"/>
  <c r="P28" i="3" s="1"/>
  <c r="R46" i="3"/>
  <c r="S44" i="3"/>
  <c r="R19" i="3"/>
  <c r="Q20" i="3"/>
  <c r="T55" i="3"/>
  <c r="T4" i="3"/>
  <c r="S6" i="3"/>
  <c r="P67" i="3"/>
  <c r="T24" i="3"/>
  <c r="U15" i="3"/>
  <c r="J51" i="18" l="1"/>
  <c r="J60" i="18" s="1"/>
  <c r="M12" i="18"/>
  <c r="M19" i="18" s="1"/>
  <c r="M12" i="19"/>
  <c r="M19" i="19" s="1"/>
  <c r="L34" i="18"/>
  <c r="L23" i="18"/>
  <c r="L28" i="18"/>
  <c r="J65" i="18"/>
  <c r="J71" i="18"/>
  <c r="L29" i="11"/>
  <c r="L34" i="11" s="1"/>
  <c r="L37" i="11" s="1"/>
  <c r="Q68" i="3"/>
  <c r="K50" i="18"/>
  <c r="K37" i="19"/>
  <c r="K38" i="19" s="1"/>
  <c r="K51" i="18" s="1"/>
  <c r="K60" i="18" s="1"/>
  <c r="S29" i="5"/>
  <c r="T28" i="5"/>
  <c r="U28" i="5"/>
  <c r="S66" i="5"/>
  <c r="S26" i="5"/>
  <c r="T62" i="5"/>
  <c r="U61" i="5"/>
  <c r="S63" i="5"/>
  <c r="T25" i="5"/>
  <c r="T26" i="5" s="1"/>
  <c r="U24" i="5"/>
  <c r="U52" i="5"/>
  <c r="U58" i="5" s="1"/>
  <c r="T58" i="5"/>
  <c r="R60" i="4"/>
  <c r="R62" i="4"/>
  <c r="R63" i="4" s="1"/>
  <c r="N30" i="11" s="1"/>
  <c r="T59" i="4"/>
  <c r="U58" i="4"/>
  <c r="T49" i="4"/>
  <c r="S55" i="4"/>
  <c r="T26" i="4"/>
  <c r="U25" i="4"/>
  <c r="R27" i="4"/>
  <c r="R29" i="4"/>
  <c r="R30" i="4" s="1"/>
  <c r="N6" i="11" s="1"/>
  <c r="N10" i="11" s="1"/>
  <c r="N13" i="11" s="1"/>
  <c r="S22" i="4"/>
  <c r="T16" i="4"/>
  <c r="S19" i="3"/>
  <c r="R20" i="3"/>
  <c r="V63" i="3"/>
  <c r="U55" i="3"/>
  <c r="U24" i="3"/>
  <c r="Q25" i="3"/>
  <c r="Q27" i="3"/>
  <c r="Q28" i="3" s="1"/>
  <c r="S46" i="3"/>
  <c r="T44" i="3"/>
  <c r="T6" i="3"/>
  <c r="U4" i="3"/>
  <c r="U6" i="3" s="1"/>
  <c r="Q67" i="3"/>
  <c r="S59" i="3"/>
  <c r="R60" i="3"/>
  <c r="R65" i="3" s="1"/>
  <c r="N12" i="19" l="1"/>
  <c r="N19" i="19" s="1"/>
  <c r="N12" i="18"/>
  <c r="N19" i="18" s="1"/>
  <c r="M28" i="18"/>
  <c r="M23" i="18"/>
  <c r="M34" i="18"/>
  <c r="L37" i="19"/>
  <c r="L38" i="19" s="1"/>
  <c r="L50" i="18"/>
  <c r="R68" i="3"/>
  <c r="M29" i="11"/>
  <c r="M34" i="11" s="1"/>
  <c r="M37" i="11" s="1"/>
  <c r="K71" i="18"/>
  <c r="K65" i="18"/>
  <c r="U25" i="5"/>
  <c r="V24" i="5"/>
  <c r="T63" i="5"/>
  <c r="T65" i="5"/>
  <c r="T66" i="5" s="1"/>
  <c r="U65" i="5"/>
  <c r="T29" i="5"/>
  <c r="U62" i="5"/>
  <c r="U63" i="5" s="1"/>
  <c r="V61" i="5"/>
  <c r="U49" i="4"/>
  <c r="U55" i="4" s="1"/>
  <c r="T55" i="4"/>
  <c r="U59" i="4"/>
  <c r="V58" i="4"/>
  <c r="U16" i="4"/>
  <c r="U22" i="4" s="1"/>
  <c r="T22" i="4"/>
  <c r="S27" i="4"/>
  <c r="S29" i="4"/>
  <c r="S30" i="4" s="1"/>
  <c r="O6" i="11" s="1"/>
  <c r="O10" i="11" s="1"/>
  <c r="O13" i="11" s="1"/>
  <c r="S60" i="4"/>
  <c r="S62" i="4"/>
  <c r="S63" i="4" s="1"/>
  <c r="O30" i="11" s="1"/>
  <c r="U26" i="4"/>
  <c r="V25" i="4"/>
  <c r="R67" i="3"/>
  <c r="U44" i="3"/>
  <c r="U46" i="3" s="1"/>
  <c r="T46" i="3"/>
  <c r="T59" i="3"/>
  <c r="S60" i="3"/>
  <c r="S65" i="3" s="1"/>
  <c r="R25" i="3"/>
  <c r="R27" i="3"/>
  <c r="R28" i="3" s="1"/>
  <c r="T19" i="3"/>
  <c r="S20" i="3"/>
  <c r="L51" i="18" l="1"/>
  <c r="L60" i="18" s="1"/>
  <c r="N34" i="18"/>
  <c r="N23" i="18"/>
  <c r="N28" i="18"/>
  <c r="O12" i="18"/>
  <c r="O19" i="18" s="1"/>
  <c r="O12" i="19"/>
  <c r="O19" i="19" s="1"/>
  <c r="S68" i="3"/>
  <c r="N29" i="11"/>
  <c r="N34" i="11" s="1"/>
  <c r="N37" i="11" s="1"/>
  <c r="M37" i="19"/>
  <c r="M38" i="19" s="1"/>
  <c r="M51" i="18" s="1"/>
  <c r="M60" i="18" s="1"/>
  <c r="M50" i="18"/>
  <c r="L71" i="18"/>
  <c r="L65" i="18"/>
  <c r="U66" i="5"/>
  <c r="U26" i="5"/>
  <c r="U29" i="5"/>
  <c r="U27" i="4"/>
  <c r="U29" i="4"/>
  <c r="U30" i="4" s="1"/>
  <c r="Q6" i="11" s="1"/>
  <c r="Q10" i="11" s="1"/>
  <c r="Q13" i="11" s="1"/>
  <c r="T27" i="4"/>
  <c r="T29" i="4"/>
  <c r="T30" i="4" s="1"/>
  <c r="P6" i="11" s="1"/>
  <c r="P10" i="11" s="1"/>
  <c r="P13" i="11" s="1"/>
  <c r="T60" i="4"/>
  <c r="T62" i="4"/>
  <c r="T63" i="4" s="1"/>
  <c r="P30" i="11" s="1"/>
  <c r="U60" i="4"/>
  <c r="U62" i="4"/>
  <c r="U63" i="4" s="1"/>
  <c r="Q30" i="11" s="1"/>
  <c r="U59" i="3"/>
  <c r="U60" i="3" s="1"/>
  <c r="U65" i="3" s="1"/>
  <c r="T60" i="3"/>
  <c r="T65" i="3" s="1"/>
  <c r="S67" i="3"/>
  <c r="S25" i="3"/>
  <c r="S27" i="3"/>
  <c r="S28" i="3" s="1"/>
  <c r="U19" i="3"/>
  <c r="U20" i="3" s="1"/>
  <c r="T20" i="3"/>
  <c r="P12" i="18" l="1"/>
  <c r="P19" i="18" s="1"/>
  <c r="P12" i="19"/>
  <c r="P19" i="19" s="1"/>
  <c r="O34" i="18"/>
  <c r="O28" i="18"/>
  <c r="O23" i="18"/>
  <c r="Q12" i="18"/>
  <c r="Q19" i="18" s="1"/>
  <c r="Q12" i="19"/>
  <c r="Q19" i="19" s="1"/>
  <c r="C20" i="19" s="1"/>
  <c r="C15" i="11"/>
  <c r="C14" i="11"/>
  <c r="N50" i="18"/>
  <c r="N37" i="19"/>
  <c r="N38" i="19" s="1"/>
  <c r="N51" i="18" s="1"/>
  <c r="N60" i="18" s="1"/>
  <c r="T68" i="3"/>
  <c r="O29" i="11"/>
  <c r="O34" i="11" s="1"/>
  <c r="O37" i="11" s="1"/>
  <c r="M65" i="18"/>
  <c r="M71" i="18"/>
  <c r="G31" i="5"/>
  <c r="G30" i="5"/>
  <c r="G68" i="5"/>
  <c r="G67" i="5"/>
  <c r="G65" i="4"/>
  <c r="C7" i="1" s="1"/>
  <c r="G64" i="4"/>
  <c r="D7" i="1" s="1"/>
  <c r="G32" i="4"/>
  <c r="E7" i="1" s="1"/>
  <c r="G31" i="4"/>
  <c r="F7" i="1" s="1"/>
  <c r="F11" i="1" s="1"/>
  <c r="U67" i="3"/>
  <c r="T67" i="3"/>
  <c r="T25" i="3"/>
  <c r="T27" i="3"/>
  <c r="T28" i="3" s="1"/>
  <c r="U25" i="3"/>
  <c r="U27" i="3"/>
  <c r="U28" i="3" s="1"/>
  <c r="G29" i="3" s="1"/>
  <c r="Q34" i="18" l="1"/>
  <c r="Q23" i="18"/>
  <c r="Q28" i="18"/>
  <c r="P34" i="18"/>
  <c r="P23" i="18"/>
  <c r="P28" i="18"/>
  <c r="O50" i="18"/>
  <c r="O37" i="19"/>
  <c r="O38" i="19" s="1"/>
  <c r="O51" i="18" s="1"/>
  <c r="O60" i="18" s="1"/>
  <c r="U68" i="3"/>
  <c r="Q29" i="11" s="1"/>
  <c r="Q34" i="11" s="1"/>
  <c r="Q37" i="11" s="1"/>
  <c r="P29" i="11"/>
  <c r="P34" i="11" s="1"/>
  <c r="P37" i="11" s="1"/>
  <c r="N65" i="18"/>
  <c r="N71" i="18"/>
  <c r="C37" i="18" l="1"/>
  <c r="P50" i="18"/>
  <c r="P37" i="19"/>
  <c r="P38" i="19" s="1"/>
  <c r="P51" i="18" s="1"/>
  <c r="P60" i="18" s="1"/>
  <c r="Q37" i="19"/>
  <c r="Q38" i="19" s="1"/>
  <c r="Q50" i="18"/>
  <c r="C39" i="11"/>
  <c r="C38" i="11"/>
  <c r="O65" i="18"/>
  <c r="O71" i="18"/>
  <c r="G69" i="3"/>
  <c r="D5" i="1" s="1"/>
  <c r="D11" i="1" s="1"/>
  <c r="Q51" i="18" l="1"/>
  <c r="Q60" i="18" s="1"/>
  <c r="C43" i="19"/>
  <c r="C56" i="18" s="1"/>
  <c r="F81" i="18"/>
  <c r="F80" i="18"/>
  <c r="Q65" i="18"/>
  <c r="C67" i="18" s="1"/>
  <c r="Q71" i="18"/>
  <c r="C6" i="1"/>
  <c r="C11" i="1" s="1"/>
  <c r="E6" i="1"/>
  <c r="E11" i="1" s="1"/>
  <c r="P65" i="18"/>
  <c r="P71" i="18"/>
  <c r="C28" i="18"/>
  <c r="C20" i="18"/>
  <c r="C23" i="18"/>
  <c r="C25" i="18" s="1"/>
  <c r="C74" i="18" l="1"/>
  <c r="G81" i="18" s="1"/>
  <c r="C61" i="18"/>
  <c r="G79" i="18" s="1"/>
  <c r="C62" i="18"/>
  <c r="E79" i="18"/>
  <c r="D79" i="18"/>
  <c r="C32" i="18"/>
  <c r="E80" i="18" s="1"/>
  <c r="C30" i="18"/>
  <c r="G80" i="18"/>
  <c r="C24" i="18"/>
  <c r="F79" i="18" s="1"/>
</calcChain>
</file>

<file path=xl/sharedStrings.xml><?xml version="1.0" encoding="utf-8"?>
<sst xmlns="http://schemas.openxmlformats.org/spreadsheetml/2006/main" count="1407" uniqueCount="312">
  <si>
    <t>Investments</t>
  </si>
  <si>
    <t>EIRR (%)</t>
  </si>
  <si>
    <t>FIRR (%)</t>
  </si>
  <si>
    <t>Cassava</t>
  </si>
  <si>
    <t>Budget(%)</t>
  </si>
  <si>
    <t>Honey</t>
  </si>
  <si>
    <t>Poultry</t>
  </si>
  <si>
    <t>Irrigation</t>
  </si>
  <si>
    <t>=</t>
  </si>
  <si>
    <t>Total export f.o.b</t>
  </si>
  <si>
    <t>Total import c.i.f</t>
  </si>
  <si>
    <t>Export duties</t>
  </si>
  <si>
    <t>Import duties</t>
  </si>
  <si>
    <t>VAT on imports</t>
  </si>
  <si>
    <t>Excise duties on imports</t>
  </si>
  <si>
    <t>Conversion factor</t>
  </si>
  <si>
    <t>VAT Tax rate (fixed for last 5 Years)</t>
  </si>
  <si>
    <t>Official Exchange Rate (2022)</t>
  </si>
  <si>
    <t>FINANCIAL</t>
  </si>
  <si>
    <t>Unit</t>
  </si>
  <si>
    <t>Quantity</t>
  </si>
  <si>
    <t>Price</t>
  </si>
  <si>
    <t>Amount</t>
  </si>
  <si>
    <t>Year</t>
  </si>
  <si>
    <t>REVENUE</t>
  </si>
  <si>
    <t>With Project</t>
  </si>
  <si>
    <t>Units sold anually- no of chickens</t>
  </si>
  <si>
    <t>kg</t>
  </si>
  <si>
    <t>Units sold anually- no of eggs</t>
  </si>
  <si>
    <t>number</t>
  </si>
  <si>
    <t>Sub-total Revenue</t>
  </si>
  <si>
    <t>COSTS</t>
  </si>
  <si>
    <t>Investment Costs</t>
  </si>
  <si>
    <t>Cost of Chick</t>
  </si>
  <si>
    <t>Nos.</t>
  </si>
  <si>
    <t>Other Fixed Assets</t>
  </si>
  <si>
    <t>lumpsum</t>
  </si>
  <si>
    <t>Sub-total Investment</t>
  </si>
  <si>
    <t>Operating costs</t>
  </si>
  <si>
    <t>Feeding Cost</t>
  </si>
  <si>
    <t>G$</t>
  </si>
  <si>
    <t>Wages and Salary</t>
  </si>
  <si>
    <t>Veterinary Expenses</t>
  </si>
  <si>
    <t xml:space="preserve">Mis. Expense </t>
  </si>
  <si>
    <t>Sub-total for Operating costs</t>
  </si>
  <si>
    <t>Fixed costs</t>
  </si>
  <si>
    <t xml:space="preserve">Depreciation </t>
  </si>
  <si>
    <t>G$/annum</t>
  </si>
  <si>
    <t>Sub-total for Fixed costs</t>
  </si>
  <si>
    <t>TOTAL COSTS</t>
  </si>
  <si>
    <t>GROSS MARGIN</t>
  </si>
  <si>
    <t>NET MARGIN</t>
  </si>
  <si>
    <t>FIRR</t>
  </si>
  <si>
    <t>FNPV</t>
  </si>
  <si>
    <t>ECONOMIC</t>
  </si>
  <si>
    <t>Egg Units sold- No of eggs</t>
  </si>
  <si>
    <t>Eggs/annum</t>
  </si>
  <si>
    <t>Mis. Expense</t>
  </si>
  <si>
    <t>EIRR</t>
  </si>
  <si>
    <t>ENPV</t>
  </si>
  <si>
    <t>Milk</t>
  </si>
  <si>
    <t>Liter</t>
  </si>
  <si>
    <t>- Manure</t>
  </si>
  <si>
    <t>Bags</t>
  </si>
  <si>
    <t>Selling of animal</t>
  </si>
  <si>
    <t>Nos</t>
  </si>
  <si>
    <t>Animal Cost</t>
  </si>
  <si>
    <t>Other Fixed Cost</t>
  </si>
  <si>
    <t>Fooder (Hay and Grains &amp; Seeds)</t>
  </si>
  <si>
    <t>Vaccination and medication</t>
  </si>
  <si>
    <t>G4</t>
  </si>
  <si>
    <t>NET MARGIN BEFORE PROFIT TAX</t>
  </si>
  <si>
    <t>Depreciation (Shed)</t>
  </si>
  <si>
    <t>lbs</t>
  </si>
  <si>
    <t>Land cost</t>
  </si>
  <si>
    <t>Land prepare cultivation</t>
  </si>
  <si>
    <t>Irrigation Expenses</t>
  </si>
  <si>
    <t>Land prepare and cultivation</t>
  </si>
  <si>
    <t>Seed and plant</t>
  </si>
  <si>
    <t>Seed and Plant</t>
  </si>
  <si>
    <t>Sales</t>
  </si>
  <si>
    <t>Fixed Capital</t>
  </si>
  <si>
    <t>Seed cost</t>
  </si>
  <si>
    <t>Transportation</t>
  </si>
  <si>
    <t>Damage</t>
  </si>
  <si>
    <t>Land Rent</t>
  </si>
  <si>
    <t>Lumpsum</t>
  </si>
  <si>
    <t>Sales of vegetable</t>
  </si>
  <si>
    <t>G$s/annum</t>
  </si>
  <si>
    <t>Cash in hand</t>
  </si>
  <si>
    <t>Material Cost</t>
  </si>
  <si>
    <t>Other direct cost</t>
  </si>
  <si>
    <t>Rent</t>
  </si>
  <si>
    <t>ha</t>
  </si>
  <si>
    <t>Income from gum arabic export</t>
  </si>
  <si>
    <t>Wage and salary</t>
  </si>
  <si>
    <t>Sales from cassava bread</t>
  </si>
  <si>
    <t>Sales from other diversification (Cassava jam, Cassava chips, Cassava cake)</t>
  </si>
  <si>
    <t>G$/anuum</t>
  </si>
  <si>
    <t>Wages and salary</t>
  </si>
  <si>
    <t>other</t>
  </si>
  <si>
    <t>BASIC DATA</t>
  </si>
  <si>
    <t>Currency</t>
  </si>
  <si>
    <t>Exchange rate</t>
  </si>
  <si>
    <t>USD =</t>
  </si>
  <si>
    <t>Interest rate (NPV)</t>
  </si>
  <si>
    <t>14%</t>
  </si>
  <si>
    <t>WAGE OF LABOR</t>
  </si>
  <si>
    <t>Tipo de mano de obra</t>
  </si>
  <si>
    <t>FC</t>
  </si>
  <si>
    <t>financial</t>
  </si>
  <si>
    <t>economic</t>
  </si>
  <si>
    <t>Family</t>
  </si>
  <si>
    <t>day</t>
  </si>
  <si>
    <t>Hired</t>
  </si>
  <si>
    <t>Other income</t>
  </si>
  <si>
    <t>Particulars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</si>
  <si>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</si>
  <si>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</si>
  <si>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</si>
  <si>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</si>
  <si>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</si>
  <si>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</si>
  <si>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</si>
  <si>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</si>
  <si>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</si>
  <si>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</si>
  <si>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</si>
  <si>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</si>
  <si>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</si>
  <si>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</si>
  <si>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</si>
  <si>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Total</t>
  </si>
  <si>
    <t>US$</t>
  </si>
  <si>
    <t>Financial</t>
  </si>
  <si>
    <t>Net Margins</t>
  </si>
  <si>
    <t>Total investment</t>
  </si>
  <si>
    <t>Million</t>
  </si>
  <si>
    <t>Total component cost</t>
  </si>
  <si>
    <t>Economic</t>
  </si>
  <si>
    <t>Spice Processing</t>
  </si>
  <si>
    <t>cattle</t>
  </si>
  <si>
    <t>Cassava processing</t>
  </si>
  <si>
    <t>School kitchen gardening</t>
  </si>
  <si>
    <t>Actual Investment ('000 G$)</t>
  </si>
  <si>
    <t>Cassavs</t>
  </si>
  <si>
    <t>Spice processing</t>
  </si>
  <si>
    <t>poultry</t>
  </si>
  <si>
    <t>School kitchen garden</t>
  </si>
  <si>
    <t xml:space="preserve">Total additional financing= US$ 11million </t>
  </si>
  <si>
    <t xml:space="preserve">Total(G$) </t>
  </si>
  <si>
    <t>Additional financing</t>
  </si>
  <si>
    <t>budget(G$)</t>
  </si>
  <si>
    <t>poutry</t>
  </si>
  <si>
    <t>Cattle</t>
  </si>
  <si>
    <t>ENPV ('000 g$)</t>
  </si>
  <si>
    <t>FNPV ('000 G$)</t>
  </si>
  <si>
    <t>Net margins for the additional financing</t>
  </si>
  <si>
    <t>Net margins for additional financing</t>
  </si>
  <si>
    <t xml:space="preserve">EIRR </t>
  </si>
  <si>
    <t xml:space="preserve">ENPV </t>
  </si>
  <si>
    <t>bags</t>
  </si>
  <si>
    <t>Year 0</t>
  </si>
  <si>
    <t>EBIDT(Earnings Before Interest, Taxes, Depreciation, and Amortization)</t>
  </si>
  <si>
    <t>Capital Expenditure</t>
  </si>
  <si>
    <t>Free Cash Flow Before Benefits</t>
  </si>
  <si>
    <t>Benefits due to save in time</t>
  </si>
  <si>
    <t>Yes</t>
  </si>
  <si>
    <t>Free Cash Flow After Benefits</t>
  </si>
  <si>
    <t>Terminal Value</t>
  </si>
  <si>
    <t>WACC(weighted average cost of capital)</t>
  </si>
  <si>
    <t>Net Free cash Flow Value</t>
  </si>
  <si>
    <t>Net Present Value</t>
  </si>
  <si>
    <t>Economic Rate of Return</t>
  </si>
  <si>
    <t>Financial Rate of Return</t>
  </si>
  <si>
    <t>Infrastructure Activity: Guest House</t>
  </si>
  <si>
    <t>Peanut TF</t>
  </si>
  <si>
    <t>Cassava TF</t>
  </si>
  <si>
    <t>Cassava processing TF</t>
  </si>
  <si>
    <t>cattle breeding TF</t>
  </si>
  <si>
    <t>poultry breeding TF</t>
  </si>
  <si>
    <t>Guest house TF</t>
  </si>
  <si>
    <t>peanut TF</t>
  </si>
  <si>
    <t>CassavaTF</t>
  </si>
  <si>
    <t>Cattle breeding</t>
  </si>
  <si>
    <t>poultry breeding</t>
  </si>
  <si>
    <t>Total 1 unit investment cost(additional Financing)</t>
  </si>
  <si>
    <t>A. Total investment in various activity (Additional financing)</t>
  </si>
  <si>
    <t>B. Total investment in various activity (Total financing)</t>
  </si>
  <si>
    <t>guest house</t>
  </si>
  <si>
    <t>Total 1 unit investment cost(Total Financing)</t>
  </si>
  <si>
    <t>BM implementation</t>
  </si>
  <si>
    <t xml:space="preserve">Total financing= US$ 10million </t>
  </si>
  <si>
    <t>cassava TF</t>
  </si>
  <si>
    <t>poutry breedingTF</t>
  </si>
  <si>
    <t>Cattle breeding TF</t>
  </si>
  <si>
    <t>guest house TF</t>
  </si>
  <si>
    <t>Net margins for the total financing</t>
  </si>
  <si>
    <t>Net margins for total financing</t>
  </si>
  <si>
    <t>NET margins for additional financing</t>
  </si>
  <si>
    <t>Net Margins (total+additional)</t>
  </si>
  <si>
    <t>Net margins(additional+total)</t>
  </si>
  <si>
    <t>FIRR(TF)</t>
  </si>
  <si>
    <t>FNPV(TF)</t>
  </si>
  <si>
    <t>EIRR (TF)</t>
  </si>
  <si>
    <t>ENPV (TF)</t>
  </si>
  <si>
    <t>EIRR (AD+TF)</t>
  </si>
  <si>
    <t>ENPV(AD+TF)</t>
  </si>
  <si>
    <t>Net Margins (10% reduced revenue)</t>
  </si>
  <si>
    <t>FNPV(10% reduced revenue)</t>
  </si>
  <si>
    <t>FIRR (10% reduced revenue)</t>
  </si>
  <si>
    <t>Net Margins (2 years delayed return)</t>
  </si>
  <si>
    <t>FNPV(2 years delayed return)</t>
  </si>
  <si>
    <t>FIRR(2 years delayed return)</t>
  </si>
  <si>
    <t>Net Margins (10% increase cost)</t>
  </si>
  <si>
    <t>Fnpv (10% reduced cost)</t>
  </si>
  <si>
    <t>FIRR(10% increase cost)</t>
  </si>
  <si>
    <t>topic</t>
  </si>
  <si>
    <t>Baseline</t>
  </si>
  <si>
    <t>10% decrease revenue</t>
  </si>
  <si>
    <t>10% increase cost</t>
  </si>
  <si>
    <t>2 year delayed return</t>
  </si>
  <si>
    <t>Harvest</t>
  </si>
  <si>
    <t>Fertilizer and weed control</t>
  </si>
  <si>
    <t>Fertilizer and  weed control</t>
  </si>
  <si>
    <t>Balanced diet/vitamins</t>
  </si>
  <si>
    <t>Balanced diets vitamins</t>
  </si>
  <si>
    <t>Fixed Capital, buliding construction and other equipment</t>
  </si>
  <si>
    <t>Buildling and equipment maintenance</t>
  </si>
  <si>
    <t>Raw materials</t>
  </si>
  <si>
    <t>Black tanks</t>
  </si>
  <si>
    <t>equipment</t>
  </si>
  <si>
    <t>Electric equipment</t>
  </si>
  <si>
    <t>Herd management and sanitation</t>
  </si>
  <si>
    <t>coral maintenance</t>
  </si>
  <si>
    <t>herd management and sanitation</t>
  </si>
  <si>
    <t>Other equipment cost</t>
  </si>
  <si>
    <t>Seed and improved cost</t>
  </si>
  <si>
    <t>herd management</t>
  </si>
  <si>
    <t>coral maintenence</t>
  </si>
  <si>
    <t>herd mangement</t>
  </si>
  <si>
    <t>Variable</t>
  </si>
  <si>
    <t>Recent Mozambique Value</t>
  </si>
  <si>
    <t>Notes / Suggested Use in EFA</t>
  </si>
  <si>
    <t>Total exports (f.o.b.)</t>
  </si>
  <si>
    <t>~US$8.28 billion</t>
  </si>
  <si>
    <t>WITS/World Bank merchandise exports (World Integrated Trade Solution)</t>
  </si>
  <si>
    <t>Total imports (c.i.f.)</t>
  </si>
  <si>
    <t>~US$10.09 billion</t>
  </si>
  <si>
    <t>WITS/World Bank merchandise imports (World Integrated Trade Solution)</t>
  </si>
  <si>
    <t>Very limited / low</t>
  </si>
  <si>
    <t>Mozambique relies much more on import taxation than export duties (Trading Economics)</t>
  </si>
  <si>
    <t>Typically 0%–20%</t>
  </si>
  <si>
    <t>Depends on tariff classification (PwC Tax Summaries)</t>
  </si>
  <si>
    <t>16% VAT</t>
  </si>
  <si>
    <t>Standard VAT rate applied to imports and domestic goods</t>
  </si>
  <si>
    <t>Product specific</t>
  </si>
  <si>
    <t>Tobacco, alcohol, luxury items, vehicles, etc. (PwC Tax Summaries)</t>
  </si>
  <si>
    <t>0.90–0.95 (typical WB assumption)</t>
  </si>
  <si>
    <t>Often used in EFA when estimating shadow pricing/tradable adjustments</t>
  </si>
  <si>
    <t>VAT tax rate</t>
  </si>
  <si>
    <t>Fixed standard VAT rate in recent years</t>
  </si>
  <si>
    <t>Official exchange rate (2022)</t>
  </si>
  <si>
    <t>~63–64 MZN per US$</t>
  </si>
  <si>
    <t>Metical remained relatively stable since 2021 (IMF)</t>
  </si>
  <si>
    <t>Mozambican Metical (MZN)</t>
  </si>
  <si>
    <t>Standard national currency</t>
  </si>
  <si>
    <t>Interest rate / discount rate for NPV</t>
  </si>
  <si>
    <t>10%–12% commonly used</t>
  </si>
  <si>
    <t>WB economic analysis often uses 6–12%; financial analysis may use local borrowing costs</t>
  </si>
  <si>
    <t>Wage of labor – Family labor</t>
  </si>
  <si>
    <t>Shadow wage often below market wage</t>
  </si>
  <si>
    <t>Frequently adjusted downward in economic analysis</t>
  </si>
  <si>
    <t>Wage of labor – Hired labor</t>
  </si>
  <si>
    <t>Market wage</t>
  </si>
  <si>
    <t>Use local construction/labor survey rates</t>
  </si>
  <si>
    <t>2025 million usd</t>
  </si>
  <si>
    <t>MZN</t>
  </si>
  <si>
    <t>Wage   MZN</t>
  </si>
  <si>
    <t>Energy saved</t>
  </si>
  <si>
    <t>CAPEX</t>
  </si>
  <si>
    <t>Installment and other</t>
  </si>
  <si>
    <t>OPEX – Cool Reflective Roof</t>
  </si>
  <si>
    <t>Wages and Labor</t>
  </si>
  <si>
    <t>Roof Maintenance</t>
  </si>
  <si>
    <t>Reflective Coating Reapplication</t>
  </si>
  <si>
    <t>Cleaning and Repair</t>
  </si>
  <si>
    <t>Equipment and Material Replacement</t>
  </si>
  <si>
    <t>installment cost</t>
  </si>
  <si>
    <t>Enegy saved</t>
  </si>
  <si>
    <t>Productivity cost</t>
  </si>
  <si>
    <t>Installment</t>
  </si>
  <si>
    <t>OPEX</t>
  </si>
  <si>
    <t>Ceiling Maintenance</t>
  </si>
  <si>
    <t>Insulation Repair</t>
  </si>
  <si>
    <t>Cleaning and Minor Repair</t>
  </si>
  <si>
    <t>Material Replacement</t>
  </si>
  <si>
    <t>KWH/h</t>
  </si>
  <si>
    <t>MZK</t>
  </si>
  <si>
    <t>MZk</t>
  </si>
  <si>
    <t>MZK/annum</t>
  </si>
  <si>
    <t>Time saved /productivity</t>
  </si>
  <si>
    <t>KWH/hr</t>
  </si>
  <si>
    <t>Hr</t>
  </si>
  <si>
    <t>Cost of capital</t>
  </si>
  <si>
    <t>Intallation</t>
  </si>
  <si>
    <t>Window and Vent Maintenance</t>
  </si>
  <si>
    <t>Ventilation Component Replacement</t>
  </si>
  <si>
    <t>Building Maintenance</t>
  </si>
  <si>
    <t>Capital Investment</t>
  </si>
  <si>
    <t>Intallation cost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</si>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</sst>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#,##0_ ;[Red]\-#,##0\ "/>
    <numFmt numFmtId="166" formatCode="#,##0;\-#,##0;\-"/>
    <numFmt numFmtId="167" formatCode="_(* #,##0.000_);_(* \(#,##0.000\);_(* &quot;-&quot;??_);_(@_)"/>
    <numFmt numFmtId="168" formatCode="0.0"/>
    <numFmt numFmtId="169" formatCode="_-* #,##0_-;\-* #,##0_-;_-* &quot;-&quot;??_-;_-@_-"/>
    <numFmt numFmtId="170" formatCode="_(* #,##0.0_);_(* \(#,##0.0\);_(* &quot;-&quot;?_);_(@_)"/>
    <numFmt numFmtId="171" formatCode="[$-409]mmm\-yy;@"/>
    <numFmt numFmtId="172" formatCode="0.0%"/>
    <numFmt numFmtId="173" formatCode="_(* #,##0_);_(* \(#,##0\);_(* &quot;-&quot;?_);_(@_)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 Light"/>
      <family val="1"/>
      <scheme val="major"/>
    </font>
    <font>
      <b/>
      <sz val="10"/>
      <color theme="1"/>
      <name val="Calibri Light"/>
      <family val="1"/>
      <scheme val="major"/>
    </font>
    <font>
      <sz val="10"/>
      <color theme="1"/>
      <name val="Calibri Light"/>
      <family val="1"/>
      <scheme val="major"/>
    </font>
    <font>
      <sz val="8"/>
      <name val="Arial"/>
      <family val="2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rgb="FF010BD9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b/>
      <sz val="11"/>
      <name val="Times New Roman"/>
      <family val="1"/>
    </font>
    <font>
      <sz val="11"/>
      <color rgb="FF333333"/>
      <name val="Arial"/>
      <family val="2"/>
    </font>
    <font>
      <sz val="11"/>
      <color theme="1"/>
      <name val="Times New Roman"/>
      <family val="1"/>
    </font>
    <font>
      <b/>
      <sz val="9"/>
      <color theme="1"/>
      <name val="Calibri Light"/>
      <family val="1"/>
      <scheme val="major"/>
    </font>
    <font>
      <b/>
      <sz val="9"/>
      <color rgb="FFFF0000"/>
      <name val="Calibri Light"/>
      <family val="1"/>
      <scheme val="major"/>
    </font>
    <font>
      <sz val="9"/>
      <color rgb="FF010BD9"/>
      <name val="Arial"/>
      <family val="2"/>
    </font>
    <font>
      <b/>
      <sz val="11"/>
      <color theme="1"/>
      <name val="Times New Roman"/>
      <family val="1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1"/>
      <name val="Times New Roman"/>
      <family val="1"/>
    </font>
    <font>
      <sz val="11"/>
      <color rgb="FF9C6500"/>
      <name val="Calibri"/>
      <family val="2"/>
      <scheme val="minor"/>
    </font>
    <font>
      <b/>
      <sz val="10"/>
      <color rgb="FF000000"/>
      <name val="Times New Roman"/>
      <family val="1"/>
    </font>
    <font>
      <sz val="9"/>
      <color theme="1"/>
      <name val="Calibri"/>
      <family val="2"/>
      <scheme val="minor"/>
    </font>
    <font>
      <b/>
      <sz val="15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FFFFFF"/>
      <name val="Times New Roman"/>
      <family val="1"/>
    </font>
  </fonts>
  <fills count="4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000000"/>
      </patternFill>
    </fill>
    <fill>
      <patternFill patternType="solid">
        <fgColor rgb="FFF79646"/>
        <bgColor rgb="FF000000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6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0" fontId="14" fillId="0" borderId="0"/>
    <xf numFmtId="0" fontId="1" fillId="0" borderId="0"/>
    <xf numFmtId="0" fontId="22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24" fillId="0" borderId="14" applyNumberFormat="0" applyFill="0" applyAlignment="0" applyProtection="0"/>
    <xf numFmtId="0" fontId="25" fillId="0" borderId="15" applyNumberFormat="0" applyFill="0" applyAlignment="0" applyProtection="0"/>
    <xf numFmtId="0" fontId="25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8" borderId="16" applyNumberFormat="0" applyAlignment="0" applyProtection="0"/>
    <xf numFmtId="0" fontId="29" fillId="9" borderId="17" applyNumberFormat="0" applyAlignment="0" applyProtection="0"/>
    <xf numFmtId="0" fontId="30" fillId="9" borderId="16" applyNumberFormat="0" applyAlignment="0" applyProtection="0"/>
    <xf numFmtId="0" fontId="31" fillId="0" borderId="18" applyNumberFormat="0" applyFill="0" applyAlignment="0" applyProtection="0"/>
    <xf numFmtId="0" fontId="32" fillId="10" borderId="19" applyNumberFormat="0" applyAlignment="0" applyProtection="0"/>
    <xf numFmtId="0" fontId="33" fillId="0" borderId="0" applyNumberFormat="0" applyFill="0" applyBorder="0" applyAlignment="0" applyProtection="0"/>
    <xf numFmtId="0" fontId="1" fillId="11" borderId="20" applyNumberFormat="0" applyFont="0" applyAlignment="0" applyProtection="0"/>
    <xf numFmtId="0" fontId="34" fillId="0" borderId="0" applyNumberFormat="0" applyFill="0" applyBorder="0" applyAlignment="0" applyProtection="0"/>
    <xf numFmtId="0" fontId="2" fillId="0" borderId="21" applyNumberFormat="0" applyFill="0" applyAlignment="0" applyProtection="0"/>
    <xf numFmtId="0" fontId="35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5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5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5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5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5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8" fillId="7" borderId="0" applyNumberFormat="0" applyBorder="0" applyAlignment="0" applyProtection="0"/>
    <xf numFmtId="0" fontId="35" fillId="15" borderId="0" applyNumberFormat="0" applyBorder="0" applyAlignment="0" applyProtection="0"/>
    <xf numFmtId="0" fontId="35" fillId="19" borderId="0" applyNumberFormat="0" applyBorder="0" applyAlignment="0" applyProtection="0"/>
    <xf numFmtId="0" fontId="35" fillId="23" borderId="0" applyNumberFormat="0" applyBorder="0" applyAlignment="0" applyProtection="0"/>
    <xf numFmtId="0" fontId="35" fillId="27" borderId="0" applyNumberFormat="0" applyBorder="0" applyAlignment="0" applyProtection="0"/>
    <xf numFmtId="0" fontId="35" fillId="31" borderId="0" applyNumberFormat="0" applyBorder="0" applyAlignment="0" applyProtection="0"/>
    <xf numFmtId="0" fontId="35" fillId="35" borderId="0" applyNumberFormat="0" applyBorder="0" applyAlignment="0" applyProtection="0"/>
    <xf numFmtId="0" fontId="37" fillId="0" borderId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9" fontId="3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14" fillId="0" borderId="0"/>
  </cellStyleXfs>
  <cellXfs count="155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/>
    <xf numFmtId="0" fontId="5" fillId="0" borderId="4" xfId="0" applyFont="1" applyBorder="1"/>
    <xf numFmtId="0" fontId="5" fillId="0" borderId="5" xfId="0" applyFont="1" applyBorder="1"/>
    <xf numFmtId="9" fontId="0" fillId="0" borderId="0" xfId="2" applyFont="1"/>
    <xf numFmtId="0" fontId="5" fillId="0" borderId="6" xfId="0" applyFont="1" applyBorder="1"/>
    <xf numFmtId="164" fontId="5" fillId="0" borderId="6" xfId="1" applyNumberFormat="1" applyFont="1" applyBorder="1" applyAlignment="1">
      <alignment horizontal="left" indent="1"/>
    </xf>
    <xf numFmtId="165" fontId="5" fillId="0" borderId="6" xfId="0" applyNumberFormat="1" applyFont="1" applyBorder="1" applyAlignment="1">
      <alignment horizontal="right"/>
    </xf>
    <xf numFmtId="9" fontId="5" fillId="0" borderId="6" xfId="0" applyNumberFormat="1" applyFont="1" applyBorder="1" applyAlignment="1">
      <alignment horizontal="right"/>
    </xf>
    <xf numFmtId="164" fontId="0" fillId="0" borderId="0" xfId="1" applyNumberFormat="1" applyFont="1"/>
    <xf numFmtId="164" fontId="0" fillId="0" borderId="0" xfId="0" applyNumberFormat="1"/>
    <xf numFmtId="43" fontId="0" fillId="0" borderId="0" xfId="1" applyFont="1"/>
    <xf numFmtId="9" fontId="0" fillId="0" borderId="0" xfId="0" applyNumberFormat="1"/>
    <xf numFmtId="0" fontId="5" fillId="0" borderId="1" xfId="0" applyFont="1" applyBorder="1"/>
    <xf numFmtId="43" fontId="0" fillId="0" borderId="0" xfId="0" applyNumberFormat="1"/>
    <xf numFmtId="166" fontId="6" fillId="0" borderId="0" xfId="3" applyNumberFormat="1" applyAlignment="1">
      <alignment horizontal="right"/>
    </xf>
    <xf numFmtId="9" fontId="5" fillId="0" borderId="6" xfId="2" applyFont="1" applyBorder="1" applyAlignment="1">
      <alignment horizontal="right" indent="1"/>
    </xf>
    <xf numFmtId="9" fontId="4" fillId="0" borderId="6" xfId="0" applyNumberFormat="1" applyFont="1" applyBorder="1" applyAlignment="1">
      <alignment horizontal="right"/>
    </xf>
    <xf numFmtId="0" fontId="2" fillId="0" borderId="0" xfId="0" applyFont="1"/>
    <xf numFmtId="9" fontId="2" fillId="0" borderId="0" xfId="2" applyFont="1"/>
    <xf numFmtId="43" fontId="2" fillId="0" borderId="0" xfId="0" applyNumberFormat="1" applyFont="1"/>
    <xf numFmtId="9" fontId="2" fillId="0" borderId="0" xfId="0" applyNumberFormat="1" applyFont="1"/>
    <xf numFmtId="164" fontId="4" fillId="0" borderId="6" xfId="1" applyNumberFormat="1" applyFont="1" applyBorder="1" applyAlignment="1">
      <alignment horizontal="left" indent="1"/>
    </xf>
    <xf numFmtId="0" fontId="8" fillId="0" borderId="4" xfId="0" applyFont="1" applyBorder="1"/>
    <xf numFmtId="164" fontId="9" fillId="0" borderId="0" xfId="1" applyNumberFormat="1" applyFont="1" applyFill="1" applyBorder="1"/>
    <xf numFmtId="164" fontId="7" fillId="0" borderId="6" xfId="1" applyNumberFormat="1" applyFont="1" applyBorder="1" applyAlignment="1">
      <alignment horizontal="left" indent="1"/>
    </xf>
    <xf numFmtId="9" fontId="7" fillId="0" borderId="6" xfId="0" applyNumberFormat="1" applyFont="1" applyBorder="1" applyAlignment="1">
      <alignment horizontal="right"/>
    </xf>
    <xf numFmtId="164" fontId="2" fillId="0" borderId="0" xfId="1" applyNumberFormat="1" applyFont="1"/>
    <xf numFmtId="43" fontId="10" fillId="0" borderId="0" xfId="1" applyFont="1"/>
    <xf numFmtId="167" fontId="0" fillId="0" borderId="0" xfId="0" applyNumberFormat="1"/>
    <xf numFmtId="4" fontId="0" fillId="0" borderId="0" xfId="0" applyNumberFormat="1"/>
    <xf numFmtId="168" fontId="0" fillId="0" borderId="0" xfId="0" applyNumberFormat="1"/>
    <xf numFmtId="0" fontId="11" fillId="0" borderId="0" xfId="0" applyFont="1"/>
    <xf numFmtId="0" fontId="11" fillId="0" borderId="2" xfId="0" applyFont="1" applyBorder="1"/>
    <xf numFmtId="0" fontId="13" fillId="0" borderId="2" xfId="0" applyFont="1" applyBorder="1"/>
    <xf numFmtId="169" fontId="13" fillId="0" borderId="2" xfId="1" applyNumberFormat="1" applyFont="1" applyBorder="1"/>
    <xf numFmtId="169" fontId="11" fillId="0" borderId="2" xfId="1" applyNumberFormat="1" applyFont="1" applyBorder="1"/>
    <xf numFmtId="0" fontId="15" fillId="3" borderId="0" xfId="4" applyFont="1" applyFill="1" applyAlignment="1">
      <alignment horizontal="left"/>
    </xf>
    <xf numFmtId="169" fontId="11" fillId="0" borderId="2" xfId="1" applyNumberFormat="1" applyFont="1" applyFill="1" applyBorder="1"/>
    <xf numFmtId="0" fontId="13" fillId="0" borderId="2" xfId="0" applyFont="1" applyBorder="1" applyAlignment="1">
      <alignment horizontal="left"/>
    </xf>
    <xf numFmtId="164" fontId="16" fillId="0" borderId="0" xfId="1" applyNumberFormat="1" applyFont="1"/>
    <xf numFmtId="0" fontId="17" fillId="0" borderId="0" xfId="5" applyFont="1"/>
    <xf numFmtId="0" fontId="0" fillId="0" borderId="0" xfId="0" applyAlignment="1">
      <alignment horizontal="center"/>
    </xf>
    <xf numFmtId="0" fontId="11" fillId="4" borderId="2" xfId="0" applyFont="1" applyFill="1" applyBorder="1"/>
    <xf numFmtId="169" fontId="0" fillId="0" borderId="0" xfId="0" applyNumberFormat="1"/>
    <xf numFmtId="43" fontId="11" fillId="0" borderId="2" xfId="1" applyFont="1" applyBorder="1"/>
    <xf numFmtId="0" fontId="18" fillId="0" borderId="1" xfId="0" applyFont="1" applyBorder="1" applyAlignment="1">
      <alignment horizontal="right"/>
    </xf>
    <xf numFmtId="0" fontId="18" fillId="0" borderId="9" xfId="0" applyFont="1" applyBorder="1" applyAlignment="1">
      <alignment horizontal="right"/>
    </xf>
    <xf numFmtId="0" fontId="18" fillId="0" borderId="10" xfId="0" applyFont="1" applyBorder="1" applyAlignment="1">
      <alignment horizontal="right"/>
    </xf>
    <xf numFmtId="9" fontId="18" fillId="0" borderId="2" xfId="2" applyFont="1" applyBorder="1"/>
    <xf numFmtId="169" fontId="3" fillId="0" borderId="2" xfId="1" applyNumberFormat="1" applyFont="1" applyBorder="1"/>
    <xf numFmtId="169" fontId="18" fillId="0" borderId="2" xfId="1" applyNumberFormat="1" applyFont="1" applyBorder="1"/>
    <xf numFmtId="169" fontId="18" fillId="0" borderId="11" xfId="1" applyNumberFormat="1" applyFont="1" applyBorder="1"/>
    <xf numFmtId="169" fontId="3" fillId="0" borderId="11" xfId="1" applyNumberFormat="1" applyFont="1" applyBorder="1"/>
    <xf numFmtId="169" fontId="19" fillId="4" borderId="11" xfId="1" applyNumberFormat="1" applyFont="1" applyFill="1" applyBorder="1"/>
    <xf numFmtId="169" fontId="11" fillId="0" borderId="0" xfId="1" applyNumberFormat="1" applyFont="1"/>
    <xf numFmtId="0" fontId="20" fillId="0" borderId="0" xfId="0" applyFont="1"/>
    <xf numFmtId="0" fontId="11" fillId="0" borderId="2" xfId="0" quotePrefix="1" applyFont="1" applyBorder="1" applyAlignment="1">
      <alignment horizontal="left" wrapText="1" indent="1"/>
    </xf>
    <xf numFmtId="0" fontId="11" fillId="0" borderId="2" xfId="0" quotePrefix="1" applyFont="1" applyBorder="1" applyAlignment="1">
      <alignment horizontal="left" indent="1"/>
    </xf>
    <xf numFmtId="0" fontId="11" fillId="0" borderId="2" xfId="0" applyFont="1" applyBorder="1" applyAlignment="1">
      <alignment horizontal="left" indent="1"/>
    </xf>
    <xf numFmtId="0" fontId="21" fillId="0" borderId="12" xfId="0" applyFont="1" applyBorder="1"/>
    <xf numFmtId="0" fontId="21" fillId="0" borderId="0" xfId="0" applyFont="1"/>
    <xf numFmtId="164" fontId="39" fillId="36" borderId="22" xfId="1" applyNumberFormat="1" applyFont="1" applyFill="1" applyBorder="1" applyAlignment="1">
      <alignment horizontal="center" vertical="center"/>
    </xf>
    <xf numFmtId="164" fontId="39" fillId="36" borderId="23" xfId="1" applyNumberFormat="1" applyFont="1" applyFill="1" applyBorder="1" applyAlignment="1">
      <alignment horizontal="center" vertical="center"/>
    </xf>
    <xf numFmtId="164" fontId="39" fillId="36" borderId="24" xfId="1" applyNumberFormat="1" applyFont="1" applyFill="1" applyBorder="1" applyAlignment="1">
      <alignment horizontal="center" vertical="center"/>
    </xf>
    <xf numFmtId="1" fontId="0" fillId="0" borderId="0" xfId="0" applyNumberFormat="1"/>
    <xf numFmtId="10" fontId="0" fillId="0" borderId="0" xfId="1" applyNumberFormat="1" applyFont="1"/>
    <xf numFmtId="164" fontId="40" fillId="0" borderId="0" xfId="0" applyNumberFormat="1" applyFont="1"/>
    <xf numFmtId="3" fontId="0" fillId="0" borderId="0" xfId="0" applyNumberFormat="1"/>
    <xf numFmtId="0" fontId="4" fillId="0" borderId="4" xfId="0" applyFont="1" applyBorder="1" applyAlignment="1">
      <alignment wrapText="1"/>
    </xf>
    <xf numFmtId="164" fontId="8" fillId="0" borderId="6" xfId="1" applyNumberFormat="1" applyFont="1" applyBorder="1" applyAlignment="1">
      <alignment horizontal="left" indent="1"/>
    </xf>
    <xf numFmtId="170" fontId="0" fillId="0" borderId="0" xfId="0" applyNumberFormat="1"/>
    <xf numFmtId="0" fontId="41" fillId="36" borderId="0" xfId="0" applyFont="1" applyFill="1"/>
    <xf numFmtId="0" fontId="42" fillId="36" borderId="0" xfId="0" applyFont="1" applyFill="1"/>
    <xf numFmtId="0" fontId="43" fillId="36" borderId="22" xfId="40" applyFont="1" applyFill="1" applyBorder="1" applyAlignment="1">
      <alignment horizontal="center" vertical="center"/>
    </xf>
    <xf numFmtId="171" fontId="15" fillId="36" borderId="23" xfId="41" applyNumberFormat="1" applyFont="1" applyFill="1" applyBorder="1" applyAlignment="1">
      <alignment horizontal="center" vertical="center"/>
    </xf>
    <xf numFmtId="0" fontId="43" fillId="36" borderId="23" xfId="40" applyFont="1" applyFill="1" applyBorder="1" applyAlignment="1">
      <alignment horizontal="center" vertical="center"/>
    </xf>
    <xf numFmtId="0" fontId="43" fillId="36" borderId="24" xfId="40" applyFont="1" applyFill="1" applyBorder="1" applyAlignment="1">
      <alignment horizontal="center" vertical="center"/>
    </xf>
    <xf numFmtId="0" fontId="42" fillId="36" borderId="12" xfId="40" applyFont="1" applyFill="1" applyBorder="1"/>
    <xf numFmtId="9" fontId="37" fillId="36" borderId="0" xfId="42" applyFont="1" applyFill="1" applyBorder="1"/>
    <xf numFmtId="164" fontId="42" fillId="36" borderId="0" xfId="1" applyNumberFormat="1" applyFont="1" applyFill="1" applyBorder="1"/>
    <xf numFmtId="164" fontId="44" fillId="36" borderId="0" xfId="1" applyNumberFormat="1" applyFont="1" applyFill="1" applyBorder="1"/>
    <xf numFmtId="164" fontId="44" fillId="36" borderId="25" xfId="1" applyNumberFormat="1" applyFont="1" applyFill="1" applyBorder="1"/>
    <xf numFmtId="43" fontId="37" fillId="36" borderId="0" xfId="40" applyNumberFormat="1" applyFont="1" applyFill="1"/>
    <xf numFmtId="0" fontId="37" fillId="36" borderId="0" xfId="40" applyFont="1" applyFill="1"/>
    <xf numFmtId="164" fontId="42" fillId="36" borderId="25" xfId="1" applyNumberFormat="1" applyFont="1" applyFill="1" applyBorder="1"/>
    <xf numFmtId="0" fontId="43" fillId="36" borderId="26" xfId="40" applyFont="1" applyFill="1" applyBorder="1"/>
    <xf numFmtId="0" fontId="15" fillId="36" borderId="27" xfId="40" applyFont="1" applyFill="1" applyBorder="1"/>
    <xf numFmtId="164" fontId="43" fillId="36" borderId="27" xfId="1" applyNumberFormat="1" applyFont="1" applyFill="1" applyBorder="1"/>
    <xf numFmtId="0" fontId="43" fillId="36" borderId="12" xfId="40" applyFont="1" applyFill="1" applyBorder="1"/>
    <xf numFmtId="0" fontId="15" fillId="36" borderId="0" xfId="40" applyFont="1" applyFill="1"/>
    <xf numFmtId="164" fontId="43" fillId="36" borderId="0" xfId="1" applyNumberFormat="1" applyFont="1" applyFill="1" applyBorder="1"/>
    <xf numFmtId="164" fontId="43" fillId="36" borderId="25" xfId="1" applyNumberFormat="1" applyFont="1" applyFill="1" applyBorder="1"/>
    <xf numFmtId="0" fontId="15" fillId="37" borderId="0" xfId="40" applyFont="1" applyFill="1"/>
    <xf numFmtId="172" fontId="42" fillId="36" borderId="0" xfId="42" applyNumberFormat="1" applyFont="1" applyFill="1" applyBorder="1"/>
    <xf numFmtId="9" fontId="42" fillId="36" borderId="0" xfId="42" applyFont="1" applyFill="1" applyBorder="1"/>
    <xf numFmtId="0" fontId="43" fillId="36" borderId="0" xfId="0" applyFont="1" applyFill="1"/>
    <xf numFmtId="9" fontId="43" fillId="36" borderId="0" xfId="42" applyFont="1" applyFill="1" applyBorder="1"/>
    <xf numFmtId="10" fontId="43" fillId="36" borderId="27" xfId="40" applyNumberFormat="1" applyFont="1" applyFill="1" applyBorder="1"/>
    <xf numFmtId="164" fontId="43" fillId="36" borderId="28" xfId="1" applyNumberFormat="1" applyFont="1" applyFill="1" applyBorder="1"/>
    <xf numFmtId="0" fontId="43" fillId="36" borderId="29" xfId="40" applyFont="1" applyFill="1" applyBorder="1"/>
    <xf numFmtId="10" fontId="43" fillId="36" borderId="30" xfId="40" applyNumberFormat="1" applyFont="1" applyFill="1" applyBorder="1"/>
    <xf numFmtId="43" fontId="43" fillId="36" borderId="30" xfId="40" applyNumberFormat="1" applyFont="1" applyFill="1" applyBorder="1"/>
    <xf numFmtId="43" fontId="43" fillId="36" borderId="30" xfId="43" applyFont="1" applyFill="1" applyBorder="1"/>
    <xf numFmtId="43" fontId="43" fillId="36" borderId="31" xfId="43" applyFont="1" applyFill="1" applyBorder="1"/>
    <xf numFmtId="0" fontId="43" fillId="36" borderId="0" xfId="40" applyFont="1" applyFill="1"/>
    <xf numFmtId="10" fontId="43" fillId="36" borderId="0" xfId="40" applyNumberFormat="1" applyFont="1" applyFill="1"/>
    <xf numFmtId="43" fontId="43" fillId="36" borderId="0" xfId="40" applyNumberFormat="1" applyFont="1" applyFill="1"/>
    <xf numFmtId="43" fontId="43" fillId="36" borderId="0" xfId="43" applyFont="1" applyFill="1" applyBorder="1"/>
    <xf numFmtId="164" fontId="43" fillId="36" borderId="0" xfId="40" applyNumberFormat="1" applyFont="1" applyFill="1"/>
    <xf numFmtId="164" fontId="43" fillId="36" borderId="0" xfId="43" applyNumberFormat="1" applyFont="1" applyFill="1" applyBorder="1"/>
    <xf numFmtId="0" fontId="42" fillId="36" borderId="0" xfId="40" applyFont="1" applyFill="1"/>
    <xf numFmtId="0" fontId="7" fillId="0" borderId="4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8" fillId="0" borderId="6" xfId="0" applyFont="1" applyBorder="1"/>
    <xf numFmtId="0" fontId="7" fillId="0" borderId="6" xfId="0" applyFont="1" applyBorder="1" applyAlignment="1">
      <alignment vertical="top" wrapText="1"/>
    </xf>
    <xf numFmtId="164" fontId="10" fillId="0" borderId="0" xfId="1" applyNumberFormat="1" applyFont="1"/>
    <xf numFmtId="173" fontId="2" fillId="0" borderId="0" xfId="0" applyNumberFormat="1" applyFont="1"/>
    <xf numFmtId="1" fontId="2" fillId="0" borderId="0" xfId="0" applyNumberFormat="1" applyFont="1"/>
    <xf numFmtId="0" fontId="0" fillId="0" borderId="0" xfId="0" applyAlignment="1">
      <alignment wrapText="1"/>
    </xf>
    <xf numFmtId="164" fontId="0" fillId="0" borderId="0" xfId="1" applyNumberFormat="1" applyFont="1" applyAlignment="1">
      <alignment wrapText="1"/>
    </xf>
    <xf numFmtId="8" fontId="0" fillId="0" borderId="0" xfId="0" applyNumberFormat="1"/>
    <xf numFmtId="164" fontId="0" fillId="0" borderId="0" xfId="2" applyNumberFormat="1" applyFont="1"/>
    <xf numFmtId="8" fontId="0" fillId="0" borderId="0" xfId="2" applyNumberFormat="1" applyFont="1"/>
    <xf numFmtId="0" fontId="32" fillId="38" borderId="32" xfId="0" applyFont="1" applyFill="1" applyBorder="1"/>
    <xf numFmtId="0" fontId="32" fillId="38" borderId="33" xfId="0" applyFont="1" applyFill="1" applyBorder="1"/>
    <xf numFmtId="0" fontId="32" fillId="38" borderId="34" xfId="0" applyFont="1" applyFill="1" applyBorder="1"/>
    <xf numFmtId="0" fontId="0" fillId="39" borderId="32" xfId="0" applyFill="1" applyBorder="1"/>
    <xf numFmtId="9" fontId="0" fillId="39" borderId="33" xfId="0" applyNumberFormat="1" applyFill="1" applyBorder="1"/>
    <xf numFmtId="164" fontId="0" fillId="39" borderId="33" xfId="0" applyNumberFormat="1" applyFill="1" applyBorder="1"/>
    <xf numFmtId="164" fontId="0" fillId="39" borderId="34" xfId="0" applyNumberFormat="1" applyFill="1" applyBorder="1"/>
    <xf numFmtId="0" fontId="0" fillId="0" borderId="32" xfId="0" applyBorder="1"/>
    <xf numFmtId="9" fontId="0" fillId="0" borderId="33" xfId="0" applyNumberFormat="1" applyBorder="1"/>
    <xf numFmtId="164" fontId="0" fillId="0" borderId="33" xfId="0" applyNumberFormat="1" applyBorder="1"/>
    <xf numFmtId="164" fontId="0" fillId="0" borderId="34" xfId="0" applyNumberFormat="1" applyBorder="1"/>
    <xf numFmtId="0" fontId="11" fillId="0" borderId="2" xfId="0" applyFont="1" applyBorder="1" applyAlignment="1">
      <alignment horizontal="left" wrapText="1" indent="1"/>
    </xf>
    <xf numFmtId="0" fontId="18" fillId="0" borderId="1" xfId="0" applyFont="1" applyBorder="1" applyAlignment="1">
      <alignment horizontal="right"/>
    </xf>
    <xf numFmtId="0" fontId="18" fillId="0" borderId="9" xfId="0" applyFont="1" applyBorder="1" applyAlignment="1">
      <alignment horizontal="right"/>
    </xf>
    <xf numFmtId="0" fontId="18" fillId="0" borderId="10" xfId="0" applyFont="1" applyBorder="1" applyAlignment="1">
      <alignment horizontal="right"/>
    </xf>
    <xf numFmtId="0" fontId="12" fillId="2" borderId="0" xfId="0" applyFont="1" applyFill="1" applyAlignment="1">
      <alignment horizontal="center"/>
    </xf>
    <xf numFmtId="169" fontId="13" fillId="0" borderId="7" xfId="1" applyNumberFormat="1" applyFont="1" applyBorder="1" applyAlignment="1">
      <alignment horizontal="center"/>
    </xf>
    <xf numFmtId="169" fontId="13" fillId="0" borderId="8" xfId="1" applyNumberFormat="1" applyFont="1" applyBorder="1" applyAlignment="1">
      <alignment horizontal="center"/>
    </xf>
    <xf numFmtId="0" fontId="18" fillId="2" borderId="9" xfId="0" applyFont="1" applyFill="1" applyBorder="1" applyAlignment="1">
      <alignment horizontal="right"/>
    </xf>
    <xf numFmtId="0" fontId="11" fillId="0" borderId="9" xfId="0" applyFont="1" applyBorder="1" applyAlignment="1">
      <alignment horizontal="right"/>
    </xf>
    <xf numFmtId="0" fontId="18" fillId="2" borderId="9" xfId="0" applyFont="1" applyFill="1" applyBorder="1" applyAlignment="1">
      <alignment horizontal="left"/>
    </xf>
    <xf numFmtId="0" fontId="11" fillId="0" borderId="9" xfId="0" applyFont="1" applyBorder="1" applyAlignment="1">
      <alignment horizontal="left"/>
    </xf>
    <xf numFmtId="169" fontId="13" fillId="0" borderId="1" xfId="1" applyNumberFormat="1" applyFont="1" applyBorder="1" applyAlignment="1">
      <alignment horizontal="center"/>
    </xf>
    <xf numFmtId="169" fontId="13" fillId="0" borderId="9" xfId="1" applyNumberFormat="1" applyFont="1" applyBorder="1" applyAlignment="1">
      <alignment horizontal="center"/>
    </xf>
    <xf numFmtId="169" fontId="13" fillId="0" borderId="10" xfId="1" applyNumberFormat="1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66">
    <cellStyle name="20% - Accent1" xfId="23" builtinId="30" customBuiltin="1"/>
    <cellStyle name="20% - Accent2" xfId="26" builtinId="34" customBuiltin="1"/>
    <cellStyle name="20% - Accent3" xfId="29" builtinId="38" customBuiltin="1"/>
    <cellStyle name="20% - Accent4" xfId="32" builtinId="42" customBuiltin="1"/>
    <cellStyle name="20% - Accent5" xfId="35" builtinId="46" customBuiltin="1"/>
    <cellStyle name="20% - Accent6" xfId="38" builtinId="50" customBuiltin="1"/>
    <cellStyle name="40% - Accent1" xfId="24" builtinId="31" customBuiltin="1"/>
    <cellStyle name="40% - Accent2" xfId="27" builtinId="35" customBuiltin="1"/>
    <cellStyle name="40% - Accent3" xfId="30" builtinId="39" customBuiltin="1"/>
    <cellStyle name="40% - Accent4" xfId="33" builtinId="43" customBuiltin="1"/>
    <cellStyle name="40% - Accent5" xfId="36" builtinId="47" customBuiltin="1"/>
    <cellStyle name="40% - Accent6" xfId="39" builtinId="51" customBuiltin="1"/>
    <cellStyle name="60% - Accent1 2" xfId="45" xr:uid="{7F75AD0C-2E29-4EE6-89E4-C8273D599CB2}"/>
    <cellStyle name="60% - Accent2 2" xfId="46" xr:uid="{FE99BE36-0502-408E-8402-4A7FF6259704}"/>
    <cellStyle name="60% - Accent3 2" xfId="47" xr:uid="{704339B1-DE17-47F7-B8A5-2D3DDE901C40}"/>
    <cellStyle name="60% - Accent4 2" xfId="48" xr:uid="{2DBB4900-D5CF-4224-9429-757A2376B3B7}"/>
    <cellStyle name="60% - Accent5 2" xfId="49" xr:uid="{47BEDE05-C053-469B-B4CA-F81EC3D0992E}"/>
    <cellStyle name="60% - Accent6 2" xfId="50" xr:uid="{F511D4A8-1EE6-41F6-AB6D-5AC0310854F1}"/>
    <cellStyle name="Accent1" xfId="22" builtinId="29" customBuiltin="1"/>
    <cellStyle name="Accent2" xfId="25" builtinId="33" customBuiltin="1"/>
    <cellStyle name="Accent3" xfId="28" builtinId="37" customBuiltin="1"/>
    <cellStyle name="Accent4" xfId="31" builtinId="41" customBuiltin="1"/>
    <cellStyle name="Accent5" xfId="34" builtinId="45" customBuiltin="1"/>
    <cellStyle name="Accent6" xfId="37" builtinId="49" customBuiltin="1"/>
    <cellStyle name="Bad" xfId="12" builtinId="27" customBuiltin="1"/>
    <cellStyle name="Calculation" xfId="15" builtinId="22" customBuiltin="1"/>
    <cellStyle name="Check Cell" xfId="17" builtinId="23" customBuiltin="1"/>
    <cellStyle name="Comma" xfId="1" builtinId="3"/>
    <cellStyle name="Comma 10 10" xfId="62" xr:uid="{33B05B2E-3848-488E-BF91-2EA52D9A3D75}"/>
    <cellStyle name="Comma 16" xfId="59" xr:uid="{31BC9AFC-ABD8-428B-AA57-7868E83C00E7}"/>
    <cellStyle name="Comma 2" xfId="52" xr:uid="{C2DB6EC5-86C5-41D4-9A22-2DA6C6E19C65}"/>
    <cellStyle name="Comma 2 2" xfId="53" xr:uid="{DF338893-1ACA-45F4-AA8D-0821F4A2F20D}"/>
    <cellStyle name="Comma 2 2 10" xfId="64" xr:uid="{512271CD-2C81-4998-99A4-6A912224C846}"/>
    <cellStyle name="Comma 3" xfId="54" xr:uid="{15753D29-1599-4D5A-911E-1E2ECF076CD1}"/>
    <cellStyle name="Comma 4" xfId="41" xr:uid="{053CA7B1-0BCD-4808-A964-3B2F74C6F56C}"/>
    <cellStyle name="Comma 5" xfId="43" xr:uid="{939E1798-F42C-4A54-99B0-66ADB833D092}"/>
    <cellStyle name="Explanatory Text" xfId="20" builtinId="53" customBuiltin="1"/>
    <cellStyle name="Good" xfId="11" builtinId="26" customBuilti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Input" xfId="13" builtinId="20" customBuiltin="1"/>
    <cellStyle name="Linked Cell" xfId="16" builtinId="24" customBuiltin="1"/>
    <cellStyle name="Neutral 2" xfId="44" xr:uid="{6F950C09-C255-43C2-A0A0-B036BC94D8DD}"/>
    <cellStyle name="Normal" xfId="0" builtinId="0"/>
    <cellStyle name="Normal 16" xfId="60" xr:uid="{643089C7-171A-4E67-9923-9701A5D5ADD0}"/>
    <cellStyle name="Normal 2" xfId="5" xr:uid="{BD49E90F-B2EF-4810-BB25-1046A8927AC3}"/>
    <cellStyle name="Normal 2 10" xfId="4" xr:uid="{9E4F1F87-9F24-414C-AAD0-73CC599B0455}"/>
    <cellStyle name="Normal 2 2" xfId="55" xr:uid="{A6C29F83-8AF6-494D-A562-230522426697}"/>
    <cellStyle name="Normal 2 3" xfId="65" xr:uid="{A2B45C37-75B5-40D1-AB57-95C7B9C96D90}"/>
    <cellStyle name="Normal 3" xfId="56" xr:uid="{E4A58512-F82D-4460-8385-A190C3A65B72}"/>
    <cellStyle name="Normal 4" xfId="40" xr:uid="{F005BB38-8D9D-4B31-BE75-0D43869EA68C}"/>
    <cellStyle name="Normal 5" xfId="51" xr:uid="{FD434958-2DC8-496F-BA9F-FC5A57B594C9}"/>
    <cellStyle name="Normal_COMFIN 2" xfId="3" xr:uid="{B4A485BB-A144-4F49-83F1-036CDC86B410}"/>
    <cellStyle name="Note" xfId="19" builtinId="10" customBuiltin="1"/>
    <cellStyle name="Output" xfId="14" builtinId="21" customBuiltin="1"/>
    <cellStyle name="Percent" xfId="2" builtinId="5"/>
    <cellStyle name="Percent 10" xfId="61" xr:uid="{27DB7A69-84EB-4E46-BDBE-290406927195}"/>
    <cellStyle name="Percent 2" xfId="58" xr:uid="{286088F8-1676-4382-A826-F62FE5E61D62}"/>
    <cellStyle name="Percent 2 10" xfId="63" xr:uid="{710C751F-6C97-4757-A6FB-6EEF4880C625}"/>
    <cellStyle name="Percent 2 2" xfId="42" xr:uid="{310F4872-1E1E-45A3-95F4-F050CDB4F9B9}"/>
    <cellStyle name="Percent 3" xfId="57" xr:uid="{2651B0A5-4717-4908-BFB5-BBFC8B6C52C3}"/>
    <cellStyle name="Title" xfId="6" builtinId="15" customBuiltin="1"/>
    <cellStyle name="Total" xfId="21" builtinId="25" customBuiltin="1"/>
    <cellStyle name="Warning Text" xfId="18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5E1AA-53E9-4AE7-BC7C-2386BFA2936B}">
  <dimension ref="A1:Q23"/>
  <sheetViews>
    <sheetView topLeftCell="A2" workbookViewId="0">
      <selection activeCell="B10" sqref="B10"/>
    </sheetView>
  </sheetViews>
  <sheetFormatPr defaultRowHeight="15" x14ac:dyDescent="0.25"/>
  <cols>
    <col min="1" max="1" width="33.28515625" customWidth="1"/>
    <col min="2" max="2" width="29.140625" customWidth="1"/>
    <col min="3" max="3" width="16.28515625" customWidth="1"/>
    <col min="4" max="4" width="10" customWidth="1"/>
    <col min="5" max="5" width="20" customWidth="1"/>
    <col min="6" max="6" width="17.42578125" customWidth="1"/>
    <col min="7" max="7" width="11.28515625" customWidth="1"/>
    <col min="11" max="11" width="17.42578125" customWidth="1"/>
    <col min="12" max="12" width="15.28515625" bestFit="1" customWidth="1"/>
    <col min="13" max="13" width="16.85546875" bestFit="1" customWidth="1"/>
    <col min="16" max="16" width="16.85546875" customWidth="1"/>
  </cols>
  <sheetData>
    <row r="1" spans="1:17" x14ac:dyDescent="0.25">
      <c r="A1" s="1"/>
      <c r="B1" s="1"/>
      <c r="C1" s="1"/>
      <c r="D1" s="1"/>
      <c r="E1" s="1"/>
      <c r="F1" s="1"/>
    </row>
    <row r="2" spans="1:17" ht="38.25" x14ac:dyDescent="0.25">
      <c r="A2" s="2" t="s">
        <v>0</v>
      </c>
      <c r="B2" s="2" t="s">
        <v>144</v>
      </c>
      <c r="C2" s="2" t="s">
        <v>155</v>
      </c>
      <c r="D2" s="3" t="s">
        <v>1</v>
      </c>
      <c r="E2" s="2" t="s">
        <v>156</v>
      </c>
      <c r="F2" s="3" t="s">
        <v>2</v>
      </c>
      <c r="G2" s="4" t="s">
        <v>191</v>
      </c>
    </row>
    <row r="3" spans="1:17" ht="26.25" x14ac:dyDescent="0.25">
      <c r="A3" s="73" t="s">
        <v>187</v>
      </c>
      <c r="B3" s="5"/>
      <c r="C3" s="6"/>
      <c r="D3" s="7"/>
      <c r="E3" s="6"/>
      <c r="F3" s="7"/>
      <c r="G3" s="8"/>
      <c r="H3" s="8"/>
    </row>
    <row r="4" spans="1:17" ht="75" x14ac:dyDescent="0.25">
      <c r="A4" s="9" t="s">
        <v>145</v>
      </c>
      <c r="B4" s="10">
        <f>('Cool   Reflective Roof Coating'!F12+'Cool   Reflective Roof Coating'!F21)/1000</f>
        <v>5650</v>
      </c>
      <c r="C4" s="11">
        <f>'Cool   Reflective Roof Coating'!G68/1000</f>
        <v>4966.6541020237146</v>
      </c>
      <c r="D4" s="12">
        <f>'Cool   Reflective Roof Coating'!G67</f>
        <v>0.25239453330492667</v>
      </c>
      <c r="E4" s="11">
        <f>'Cool   Reflective Roof Coating'!G31/1000</f>
        <v>5500.6299885497747</v>
      </c>
      <c r="F4" s="12">
        <f>'Cool   Reflective Roof Coating'!G30</f>
        <v>0.28445843086274869</v>
      </c>
      <c r="G4" s="69">
        <f t="shared" ref="G4:G10" si="0">L7/(B4*100)</f>
        <v>813.80530973451323</v>
      </c>
      <c r="H4" s="8"/>
      <c r="K4" t="s">
        <v>149</v>
      </c>
      <c r="L4" s="13">
        <v>9000000</v>
      </c>
      <c r="O4" s="123" t="s">
        <v>192</v>
      </c>
      <c r="P4" s="124">
        <v>9000000</v>
      </c>
    </row>
    <row r="5" spans="1:17" x14ac:dyDescent="0.25">
      <c r="A5" s="9" t="s">
        <v>146</v>
      </c>
      <c r="B5" s="10">
        <f>('Ceiling Installation + Roof Ins'!F12+'Ceiling Installation + Roof Ins'!F23)/1000</f>
        <v>8908</v>
      </c>
      <c r="C5" s="10">
        <f>'Ceiling Installation + Roof Ins'!G72/1000</f>
        <v>3000.1884583665251</v>
      </c>
      <c r="D5" s="12">
        <f>'Cross Ventilation Improvements'!G69</f>
        <v>0.16945185122815221</v>
      </c>
      <c r="E5" s="10">
        <f>'Ceiling Installation + Roof Ins'!G33/1000</f>
        <v>5248.7725238758303</v>
      </c>
      <c r="F5" s="12">
        <f>'Ceiling Installation + Roof Ins'!G32</f>
        <v>0.3257827113586711</v>
      </c>
      <c r="G5" s="69">
        <f t="shared" si="0"/>
        <v>387.12393354288281</v>
      </c>
      <c r="H5" s="8"/>
      <c r="K5" t="s">
        <v>150</v>
      </c>
      <c r="L5" s="14">
        <f>'Additional financing total'!V13</f>
        <v>2299000000</v>
      </c>
      <c r="M5" s="15"/>
      <c r="O5" t="s">
        <v>150</v>
      </c>
      <c r="P5" s="14">
        <f>P4*208</f>
        <v>1872000000</v>
      </c>
      <c r="Q5" s="15"/>
    </row>
    <row r="6" spans="1:17" x14ac:dyDescent="0.25">
      <c r="A6" s="9" t="s">
        <v>147</v>
      </c>
      <c r="B6" s="10">
        <f>('Cross Ventilation Improvements'!H12+'Cross Ventilation Improvements'!H20)/1000</f>
        <v>5650.71</v>
      </c>
      <c r="C6" s="11">
        <f>'Cross Ventilation Improvements'!G70/1000</f>
        <v>24528.250474607754</v>
      </c>
      <c r="D6" s="12">
        <f>'Ceiling Installation + Roof Ins'!G71</f>
        <v>0.27935086746041771</v>
      </c>
      <c r="E6" s="11">
        <f>'Cross Ventilation Improvements'!G70/1000</f>
        <v>24528.250474607754</v>
      </c>
      <c r="F6" s="12">
        <f>'Cross Ventilation Improvements'!G29</f>
        <v>0.16676294880901588</v>
      </c>
      <c r="G6" s="69">
        <f t="shared" si="0"/>
        <v>406.85152839200737</v>
      </c>
      <c r="H6" s="8"/>
      <c r="K6" t="s">
        <v>151</v>
      </c>
      <c r="L6" t="s">
        <v>152</v>
      </c>
      <c r="M6" t="s">
        <v>4</v>
      </c>
      <c r="O6" t="s">
        <v>151</v>
      </c>
      <c r="P6" t="s">
        <v>152</v>
      </c>
      <c r="Q6" t="s">
        <v>4</v>
      </c>
    </row>
    <row r="7" spans="1:17" x14ac:dyDescent="0.25">
      <c r="A7" s="9" t="s">
        <v>141</v>
      </c>
      <c r="B7" s="10">
        <f>('External Shading (Awnings, Over'!G13+'External Shading (Awnings, Over'!G23)/1000</f>
        <v>360</v>
      </c>
      <c r="C7" s="11">
        <f>'External Shading (Awnings, Over'!G65/1000</f>
        <v>586.74751159886296</v>
      </c>
      <c r="D7" s="12">
        <f>'External Shading (Awnings, Over'!G64</f>
        <v>0.33955408247517704</v>
      </c>
      <c r="E7" s="11">
        <f>'External Shading (Awnings, Over'!G32/1000</f>
        <v>905.00180548119567</v>
      </c>
      <c r="F7" s="12">
        <f>'External Shading (Awnings, Over'!G31</f>
        <v>0.32300370576332194</v>
      </c>
      <c r="G7" s="69">
        <f t="shared" si="0"/>
        <v>6386.1111111111113</v>
      </c>
      <c r="H7" s="8"/>
      <c r="K7" t="s">
        <v>3</v>
      </c>
      <c r="L7" s="15">
        <f>L5*0.2</f>
        <v>459800000</v>
      </c>
      <c r="M7" s="16">
        <v>0.2</v>
      </c>
      <c r="O7" t="s">
        <v>182</v>
      </c>
      <c r="P7" s="15">
        <f>P5*0.2</f>
        <v>374400000</v>
      </c>
      <c r="Q7" s="16">
        <v>0.2</v>
      </c>
    </row>
    <row r="8" spans="1:17" x14ac:dyDescent="0.25">
      <c r="A8" s="17" t="s">
        <v>142</v>
      </c>
      <c r="B8" s="10">
        <f>('Efficient Fans (DC or Energy-Ef'!F13+'Efficient Fans (DC or Energy-Ef'!F23)/1000</f>
        <v>7043.9</v>
      </c>
      <c r="C8" s="11">
        <f>'Efficient Fans (DC or Energy-Ef'!G67/1000</f>
        <v>2348.9085143579969</v>
      </c>
      <c r="D8" s="12">
        <f>'Efficient Fans (DC or Energy-Ef'!G66</f>
        <v>0.20146258274613271</v>
      </c>
      <c r="E8" s="11">
        <f>-('Efficient Fans (DC or Energy-Ef'!G33)/1000</f>
        <v>5643.3445257672929</v>
      </c>
      <c r="F8" s="12">
        <f>'Efficient Fans (DC or Energy-Ef'!G32</f>
        <v>0.21726913500869127</v>
      </c>
      <c r="G8" s="14">
        <f t="shared" si="0"/>
        <v>326.38169196041963</v>
      </c>
      <c r="H8" s="8"/>
      <c r="K8" t="s">
        <v>146</v>
      </c>
      <c r="L8" s="18">
        <f>L5*0.15</f>
        <v>344850000</v>
      </c>
      <c r="M8" s="16">
        <v>0.15</v>
      </c>
      <c r="O8" t="s">
        <v>193</v>
      </c>
      <c r="P8" s="18">
        <f>P5*0.2</f>
        <v>374400000</v>
      </c>
      <c r="Q8" s="16">
        <v>0.2</v>
      </c>
    </row>
    <row r="9" spans="1:17" s="22" customFormat="1" x14ac:dyDescent="0.25">
      <c r="A9" s="27" t="s">
        <v>5</v>
      </c>
      <c r="B9" s="19">
        <f>(Honey!F12+Honey!H27)/1000</f>
        <v>718.66666666666663</v>
      </c>
      <c r="C9" s="10">
        <f>Honey!G71/1000</f>
        <v>197.78270271341302</v>
      </c>
      <c r="D9" s="20">
        <f>Honey!G70</f>
        <v>0.36311265428454198</v>
      </c>
      <c r="E9" s="10">
        <f>Honey!G32/1000</f>
        <v>215.44541465716244</v>
      </c>
      <c r="F9" s="21">
        <f>Honey!G31</f>
        <v>0.35865753374655296</v>
      </c>
      <c r="G9" s="121">
        <f t="shared" si="0"/>
        <v>3198.9795918367349</v>
      </c>
      <c r="H9" s="23"/>
      <c r="K9" t="s">
        <v>153</v>
      </c>
      <c r="L9" s="24">
        <f>L5*0.1</f>
        <v>229900000</v>
      </c>
      <c r="M9" s="25">
        <v>0.1</v>
      </c>
      <c r="O9" t="s">
        <v>194</v>
      </c>
      <c r="P9" s="24">
        <f>P5*0.15</f>
        <v>280800000</v>
      </c>
      <c r="Q9" s="25">
        <v>0.15</v>
      </c>
    </row>
    <row r="10" spans="1:17" s="22" customFormat="1" x14ac:dyDescent="0.25">
      <c r="A10" s="27" t="s">
        <v>148</v>
      </c>
      <c r="B10" s="74">
        <f>('School kitchen gardening'!G10+'School kitchen gardening'!G20)/1000</f>
        <v>504.9</v>
      </c>
      <c r="C10" s="26">
        <f>'School kitchen gardening'!G64/1000</f>
        <v>146.5414216260906</v>
      </c>
      <c r="D10" s="21">
        <f>'School kitchen gardening'!G63</f>
        <v>0.16984724393957684</v>
      </c>
      <c r="E10" s="26">
        <f>'School kitchen gardening'!G31/1000</f>
        <v>149.87187984710502</v>
      </c>
      <c r="F10" s="21">
        <f>'School kitchen gardening'!G30</f>
        <v>0.18940991591381651</v>
      </c>
      <c r="G10" s="122">
        <f t="shared" si="0"/>
        <v>4553.3769063180825</v>
      </c>
      <c r="H10" s="23"/>
      <c r="K10" t="s">
        <v>154</v>
      </c>
      <c r="L10" s="24">
        <f>L5*0.1</f>
        <v>229900000</v>
      </c>
      <c r="M10" s="25">
        <v>0.25</v>
      </c>
      <c r="O10" t="s">
        <v>195</v>
      </c>
      <c r="P10" s="24">
        <f>P5*0.1</f>
        <v>187200000</v>
      </c>
      <c r="Q10" s="25">
        <v>0.25</v>
      </c>
    </row>
    <row r="11" spans="1:17" ht="26.25" x14ac:dyDescent="0.25">
      <c r="A11" s="116" t="s">
        <v>186</v>
      </c>
      <c r="B11" s="10">
        <f>SUM(B4:B10)*1000</f>
        <v>28836176.666666672</v>
      </c>
      <c r="C11" s="11">
        <f>(SUM(C4:C10)/SUM(B4:B10))*B11</f>
        <v>35775073.185294352</v>
      </c>
      <c r="D11" s="12">
        <f>(D4*B4+D5*B5+D6*B6+D7*B7+D9*B9+D10*B10)/(SUM(B4:B10))</f>
        <v>0.17280339574198467</v>
      </c>
      <c r="E11" s="11">
        <f>(SUM(E4:E10)/SUM(B4:B10))*B11</f>
        <v>42191316.612786114</v>
      </c>
      <c r="F11" s="12">
        <f>(F4*B4+F5*B5+F6*B6+F7*B7+F9*B9+F10*B10)/SUM(B4:B10)</f>
        <v>0.2053414109970787</v>
      </c>
      <c r="G11" s="8"/>
      <c r="H11" s="8"/>
      <c r="K11" t="s">
        <v>142</v>
      </c>
      <c r="L11" s="18">
        <f>L5*0.1</f>
        <v>229900000</v>
      </c>
      <c r="M11" s="16">
        <v>0.1</v>
      </c>
      <c r="O11" t="s">
        <v>178</v>
      </c>
      <c r="P11" s="18">
        <f>P5*0.1</f>
        <v>187200000</v>
      </c>
      <c r="Q11" s="16">
        <v>0.1</v>
      </c>
    </row>
    <row r="12" spans="1:17" ht="26.25" x14ac:dyDescent="0.25">
      <c r="A12" s="117" t="s">
        <v>188</v>
      </c>
      <c r="B12" s="31"/>
      <c r="C12" s="29"/>
      <c r="D12" s="30"/>
      <c r="E12" s="29"/>
      <c r="F12" s="30"/>
      <c r="K12" t="s">
        <v>5</v>
      </c>
      <c r="L12" s="75">
        <f>L5*0.1</f>
        <v>229900000</v>
      </c>
      <c r="M12" s="16">
        <v>0.1</v>
      </c>
      <c r="O12" t="s">
        <v>196</v>
      </c>
      <c r="P12" s="75">
        <f>P5*0.1</f>
        <v>187200000</v>
      </c>
      <c r="Q12" s="16">
        <v>0.1</v>
      </c>
    </row>
    <row r="13" spans="1:17" x14ac:dyDescent="0.25">
      <c r="A13" s="118" t="s">
        <v>182</v>
      </c>
      <c r="B13">
        <f>('Peanut TF'!F11+'Peanut TF'!F21)/1000</f>
        <v>671.5</v>
      </c>
      <c r="C13" s="14">
        <f>'Peanut TF'!G32/1000</f>
        <v>545.1692802964352</v>
      </c>
      <c r="D13" s="8">
        <f>'Peanut TF'!G65</f>
        <v>0.27723132433572384</v>
      </c>
      <c r="E13" s="14">
        <f>'Peanut TF'!G66/1000</f>
        <v>587.57697781980357</v>
      </c>
      <c r="F13" s="16">
        <f>'Peanut TF'!G31</f>
        <v>0.29104771001935537</v>
      </c>
      <c r="G13" s="14">
        <f>P7/(B13*100)</f>
        <v>5575.5770662695459</v>
      </c>
      <c r="K13" t="s">
        <v>148</v>
      </c>
      <c r="L13" s="75">
        <f>L5*0.1</f>
        <v>229900000</v>
      </c>
      <c r="M13" s="16">
        <v>0.1</v>
      </c>
      <c r="P13" s="75"/>
      <c r="Q13" s="16"/>
    </row>
    <row r="14" spans="1:17" x14ac:dyDescent="0.25">
      <c r="A14" s="118" t="s">
        <v>177</v>
      </c>
      <c r="B14">
        <f>('Cassava TF'!F12+'Cassava TF'!F21)/1000</f>
        <v>4650</v>
      </c>
      <c r="C14" s="69">
        <f>'Cassava TF'!G31/1000</f>
        <v>3755.6956933815336</v>
      </c>
      <c r="D14" s="16">
        <f>'Cassava TF'!G30</f>
        <v>0.21348721463099651</v>
      </c>
      <c r="E14" s="14">
        <f>'Cassava TF'!G68/1000</f>
        <v>2705.9998724389347</v>
      </c>
      <c r="F14" s="16">
        <f>'Cassava TF'!G30</f>
        <v>0.21348721463099651</v>
      </c>
      <c r="G14" s="69">
        <f>P8/(E14*100)</f>
        <v>1383.592082961005</v>
      </c>
    </row>
    <row r="15" spans="1:17" s="22" customFormat="1" x14ac:dyDescent="0.25">
      <c r="A15" s="118" t="s">
        <v>178</v>
      </c>
      <c r="B15" s="69">
        <f>('Cassava processing TF'!F13+'Cassava processing TF'!F23)/1000</f>
        <v>6470.81</v>
      </c>
      <c r="C15" s="69">
        <f>'Cassava processing TF'!G33/1000</f>
        <v>2374.0297173202357</v>
      </c>
      <c r="D15" s="16">
        <f>'Cassava processing TF'!G66</f>
        <v>0.23377796700376741</v>
      </c>
      <c r="E15" s="13">
        <f>'Cassava processing TF'!G67/1000</f>
        <v>7829.0321781561943</v>
      </c>
      <c r="F15" s="16">
        <f>'Efficient Fans (DC or Energy-Ef'!G32</f>
        <v>0.21726913500869127</v>
      </c>
      <c r="G15" s="14">
        <f>P11/(B15*100)</f>
        <v>289.2991758373372</v>
      </c>
      <c r="H15"/>
      <c r="I15"/>
    </row>
    <row r="16" spans="1:17" x14ac:dyDescent="0.25">
      <c r="A16" s="118" t="s">
        <v>179</v>
      </c>
      <c r="B16">
        <f>('cattle breeding TF'!F13+'cattle breeding TF'!G22)/1000</f>
        <v>3348</v>
      </c>
      <c r="C16" s="69">
        <f>'cattle breeding TF'!G65/1000</f>
        <v>3767.5349485439197</v>
      </c>
      <c r="D16" s="16">
        <f>'cattle breeding TF'!G64</f>
        <v>0.19550722630195505</v>
      </c>
      <c r="E16" s="14">
        <f>'cattle breeding TF'!G32/1000</f>
        <v>3594.7773657355751</v>
      </c>
      <c r="F16" s="16">
        <f>'cattle breeding TF'!G31</f>
        <v>0.23765602090707305</v>
      </c>
      <c r="G16" s="14">
        <f>P10/(B16*100)</f>
        <v>559.13978494623655</v>
      </c>
    </row>
    <row r="17" spans="1:7" x14ac:dyDescent="0.25">
      <c r="A17" s="118" t="s">
        <v>180</v>
      </c>
      <c r="B17" s="69">
        <f>('Poutry breeding TF'!E11+'Poutry breeding TF'!F20)/1000</f>
        <v>5500.71</v>
      </c>
      <c r="C17" s="69">
        <f>'Poutry breeding TF'!G70/1000</f>
        <v>2990.5342386856364</v>
      </c>
      <c r="D17" s="16">
        <f>'Poutry breeding TF'!G69</f>
        <v>0.16945185122815221</v>
      </c>
      <c r="E17" s="14">
        <f>'Poutry breeding TF'!G30/1000</f>
        <v>2878.0264528256721</v>
      </c>
      <c r="F17" s="16">
        <f>'Poutry breeding TF'!G29</f>
        <v>0.21018030787872766</v>
      </c>
      <c r="G17" s="14">
        <f>P9/(B17*100)</f>
        <v>510.47955627546264</v>
      </c>
    </row>
    <row r="18" spans="1:7" x14ac:dyDescent="0.25">
      <c r="A18" s="118" t="s">
        <v>189</v>
      </c>
      <c r="B18">
        <f>-(GH!D7)</f>
        <v>400000</v>
      </c>
      <c r="C18" s="69">
        <f>GH!D22/1000</f>
        <v>1918.5772959951516</v>
      </c>
      <c r="D18" s="16">
        <f>GH!D23</f>
        <v>0.21393484058787249</v>
      </c>
      <c r="E18" s="120">
        <f>-(GH!D27)/1000</f>
        <v>-1234.7878069001461</v>
      </c>
      <c r="F18" s="16">
        <f>GH!D28</f>
        <v>0.17820160658299833</v>
      </c>
      <c r="G18" s="14">
        <f>P12/(B18)</f>
        <v>468</v>
      </c>
    </row>
    <row r="19" spans="1:7" ht="25.5" x14ac:dyDescent="0.25">
      <c r="A19" s="119" t="s">
        <v>190</v>
      </c>
      <c r="B19">
        <f>SUM(B13:B18)*1000</f>
        <v>420641020</v>
      </c>
      <c r="C19" s="14">
        <f>(SUM(C13:C18)/SUM(B13:B18))*B19</f>
        <v>15351541.174222915</v>
      </c>
      <c r="D19" s="8">
        <f>(D13*B13+D14*B14+D15*B15+D16*B16+D17*B17+D18*B18)/(SUM(B13:B18))</f>
        <v>0.21360781483073232</v>
      </c>
      <c r="E19" s="120">
        <f>(SUM(E13:E18)/SUM(B13:B18))*B19</f>
        <v>16360625.04007603</v>
      </c>
      <c r="F19" s="8">
        <f>(F13*B13+F14*B14+F15*B15+F16*B16+F17*B17+F18*B18)/SUM(B13:B18)</f>
        <v>0.18026420078898991</v>
      </c>
    </row>
    <row r="20" spans="1:7" x14ac:dyDescent="0.25">
      <c r="E20" s="32"/>
    </row>
    <row r="21" spans="1:7" x14ac:dyDescent="0.25">
      <c r="B21" s="33">
        <f>SUM(B4:B10)</f>
        <v>28836.17666666667</v>
      </c>
      <c r="E21" s="32"/>
    </row>
    <row r="23" spans="1:7" x14ac:dyDescent="0.25">
      <c r="A23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EF5E-3BB2-4079-B1CB-D997594AC889}">
  <dimension ref="C3:O31"/>
  <sheetViews>
    <sheetView topLeftCell="A2" workbookViewId="0">
      <selection activeCell="F23" sqref="F23"/>
    </sheetView>
  </sheetViews>
  <sheetFormatPr defaultRowHeight="15" x14ac:dyDescent="0.25"/>
  <cols>
    <col min="3" max="3" width="61" customWidth="1"/>
    <col min="4" max="4" width="16.140625" customWidth="1"/>
    <col min="5" max="5" width="11.7109375" bestFit="1" customWidth="1"/>
  </cols>
  <sheetData>
    <row r="3" spans="3:15" x14ac:dyDescent="0.25">
      <c r="D3" t="s">
        <v>276</v>
      </c>
    </row>
    <row r="4" spans="3:15" x14ac:dyDescent="0.25">
      <c r="C4" t="s">
        <v>9</v>
      </c>
      <c r="D4" s="34">
        <v>8280000000</v>
      </c>
      <c r="E4" s="34">
        <v>1989.77</v>
      </c>
    </row>
    <row r="5" spans="3:15" x14ac:dyDescent="0.25">
      <c r="C5" t="s">
        <v>10</v>
      </c>
      <c r="D5" s="34">
        <f>4160*208</f>
        <v>865280</v>
      </c>
      <c r="E5" s="34">
        <v>3522.2</v>
      </c>
    </row>
    <row r="6" spans="3:15" x14ac:dyDescent="0.25">
      <c r="C6" t="s">
        <v>11</v>
      </c>
      <c r="D6" t="str">
        <f>N11</f>
        <v>~US$10.09 billion</v>
      </c>
    </row>
    <row r="7" spans="3:15" x14ac:dyDescent="0.25">
      <c r="C7" t="s">
        <v>12</v>
      </c>
      <c r="D7">
        <f>D5*0.2</f>
        <v>173056</v>
      </c>
    </row>
    <row r="8" spans="3:15" x14ac:dyDescent="0.25">
      <c r="C8" t="s">
        <v>13</v>
      </c>
      <c r="D8">
        <f>D5*0.1</f>
        <v>86528</v>
      </c>
    </row>
    <row r="9" spans="3:15" x14ac:dyDescent="0.25">
      <c r="C9" t="s">
        <v>14</v>
      </c>
      <c r="D9">
        <f>0.03*D5</f>
        <v>25958.399999999998</v>
      </c>
      <c r="M9" t="s">
        <v>241</v>
      </c>
      <c r="N9" t="s">
        <v>242</v>
      </c>
      <c r="O9" t="s">
        <v>243</v>
      </c>
    </row>
    <row r="10" spans="3:15" x14ac:dyDescent="0.25">
      <c r="M10" t="s">
        <v>244</v>
      </c>
      <c r="N10" t="s">
        <v>245</v>
      </c>
      <c r="O10" t="s">
        <v>246</v>
      </c>
    </row>
    <row r="11" spans="3:15" x14ac:dyDescent="0.25">
      <c r="C11" t="s">
        <v>15</v>
      </c>
      <c r="D11" s="35">
        <v>0.9</v>
      </c>
      <c r="M11" t="s">
        <v>247</v>
      </c>
      <c r="N11" t="s">
        <v>248</v>
      </c>
      <c r="O11" t="s">
        <v>249</v>
      </c>
    </row>
    <row r="12" spans="3:15" x14ac:dyDescent="0.25">
      <c r="D12" s="35"/>
      <c r="M12" t="s">
        <v>11</v>
      </c>
      <c r="N12" t="s">
        <v>250</v>
      </c>
      <c r="O12" t="s">
        <v>251</v>
      </c>
    </row>
    <row r="13" spans="3:15" x14ac:dyDescent="0.25">
      <c r="M13" t="s">
        <v>12</v>
      </c>
      <c r="N13" t="s">
        <v>252</v>
      </c>
      <c r="O13" t="s">
        <v>253</v>
      </c>
    </row>
    <row r="14" spans="3:15" x14ac:dyDescent="0.25">
      <c r="C14" t="s">
        <v>16</v>
      </c>
      <c r="D14" s="16">
        <v>0.14000000000000001</v>
      </c>
      <c r="M14" t="s">
        <v>13</v>
      </c>
      <c r="N14" t="s">
        <v>254</v>
      </c>
      <c r="O14" t="s">
        <v>255</v>
      </c>
    </row>
    <row r="15" spans="3:15" x14ac:dyDescent="0.25">
      <c r="M15" t="s">
        <v>14</v>
      </c>
      <c r="N15" t="s">
        <v>256</v>
      </c>
      <c r="O15" t="s">
        <v>257</v>
      </c>
    </row>
    <row r="16" spans="3:15" x14ac:dyDescent="0.25">
      <c r="C16" t="s">
        <v>17</v>
      </c>
      <c r="D16">
        <v>64</v>
      </c>
      <c r="M16" t="s">
        <v>15</v>
      </c>
      <c r="N16" t="s">
        <v>258</v>
      </c>
      <c r="O16" t="s">
        <v>259</v>
      </c>
    </row>
    <row r="17" spans="3:15" x14ac:dyDescent="0.25">
      <c r="M17" t="s">
        <v>260</v>
      </c>
      <c r="N17" s="16">
        <v>0.16</v>
      </c>
      <c r="O17" t="s">
        <v>261</v>
      </c>
    </row>
    <row r="18" spans="3:15" x14ac:dyDescent="0.25">
      <c r="M18" t="s">
        <v>262</v>
      </c>
      <c r="N18" t="s">
        <v>263</v>
      </c>
      <c r="O18" t="s">
        <v>264</v>
      </c>
    </row>
    <row r="19" spans="3:15" x14ac:dyDescent="0.25">
      <c r="M19" t="s">
        <v>102</v>
      </c>
      <c r="N19" t="s">
        <v>265</v>
      </c>
      <c r="O19" t="s">
        <v>266</v>
      </c>
    </row>
    <row r="20" spans="3:15" x14ac:dyDescent="0.25">
      <c r="M20" t="s">
        <v>267</v>
      </c>
      <c r="N20" t="s">
        <v>268</v>
      </c>
      <c r="O20" t="s">
        <v>269</v>
      </c>
    </row>
    <row r="21" spans="3:15" x14ac:dyDescent="0.25">
      <c r="M21" t="s">
        <v>270</v>
      </c>
      <c r="N21" t="s">
        <v>271</v>
      </c>
      <c r="O21" t="s">
        <v>272</v>
      </c>
    </row>
    <row r="22" spans="3:15" x14ac:dyDescent="0.25">
      <c r="C22" t="s">
        <v>101</v>
      </c>
      <c r="M22" t="s">
        <v>273</v>
      </c>
      <c r="N22" t="s">
        <v>274</v>
      </c>
      <c r="O22" t="s">
        <v>275</v>
      </c>
    </row>
    <row r="23" spans="3:15" x14ac:dyDescent="0.25">
      <c r="C23" t="s">
        <v>102</v>
      </c>
      <c r="D23" t="s">
        <v>277</v>
      </c>
    </row>
    <row r="24" spans="3:15" x14ac:dyDescent="0.25">
      <c r="C24" t="s">
        <v>103</v>
      </c>
      <c r="D24">
        <v>1</v>
      </c>
      <c r="E24" t="s">
        <v>104</v>
      </c>
      <c r="F24">
        <v>64</v>
      </c>
      <c r="G24" t="s">
        <v>277</v>
      </c>
    </row>
    <row r="25" spans="3:15" x14ac:dyDescent="0.25">
      <c r="C25" t="s">
        <v>105</v>
      </c>
      <c r="D25">
        <v>0.14000000000000001</v>
      </c>
      <c r="E25" t="s">
        <v>106</v>
      </c>
    </row>
    <row r="27" spans="3:15" x14ac:dyDescent="0.25">
      <c r="C27" t="s">
        <v>107</v>
      </c>
    </row>
    <row r="28" spans="3:15" x14ac:dyDescent="0.25">
      <c r="C28" t="s">
        <v>108</v>
      </c>
      <c r="E28" t="s">
        <v>278</v>
      </c>
      <c r="G28" t="s">
        <v>109</v>
      </c>
    </row>
    <row r="29" spans="3:15" x14ac:dyDescent="0.25">
      <c r="E29" t="s">
        <v>110</v>
      </c>
      <c r="F29" t="s">
        <v>111</v>
      </c>
    </row>
    <row r="30" spans="3:15" x14ac:dyDescent="0.25">
      <c r="C30" t="s">
        <v>112</v>
      </c>
      <c r="D30" t="s">
        <v>113</v>
      </c>
      <c r="E30">
        <v>750</v>
      </c>
      <c r="F30">
        <v>750</v>
      </c>
      <c r="G30">
        <v>1</v>
      </c>
    </row>
    <row r="31" spans="3:15" x14ac:dyDescent="0.25">
      <c r="C31" t="s">
        <v>114</v>
      </c>
      <c r="D31" t="s">
        <v>113</v>
      </c>
      <c r="E31">
        <v>900</v>
      </c>
      <c r="F31">
        <v>900</v>
      </c>
      <c r="G3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C1066-F0B3-484A-9419-4CC7CD782429}">
  <dimension ref="A1:V73"/>
  <sheetViews>
    <sheetView topLeftCell="A43" workbookViewId="0">
      <selection activeCell="C29" sqref="C29"/>
    </sheetView>
  </sheetViews>
  <sheetFormatPr defaultColWidth="15.7109375" defaultRowHeight="15" x14ac:dyDescent="0.25"/>
  <cols>
    <col min="2" max="2" width="26.85546875" customWidth="1"/>
  </cols>
  <sheetData>
    <row r="1" spans="1:21" x14ac:dyDescent="0.25">
      <c r="A1" s="36"/>
      <c r="B1" s="143" t="s">
        <v>18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</row>
    <row r="2" spans="1:21" x14ac:dyDescent="0.25">
      <c r="A2" s="36"/>
      <c r="B2" s="37"/>
      <c r="C2" s="38" t="s">
        <v>19</v>
      </c>
      <c r="D2" s="39" t="s">
        <v>20</v>
      </c>
      <c r="E2" s="39" t="s">
        <v>21</v>
      </c>
      <c r="F2" s="39" t="s">
        <v>22</v>
      </c>
      <c r="G2" s="144" t="s">
        <v>23</v>
      </c>
      <c r="H2" s="145"/>
      <c r="I2" s="145"/>
      <c r="J2" s="145"/>
      <c r="K2" s="145"/>
      <c r="L2" s="145"/>
      <c r="M2" s="145"/>
      <c r="N2" s="145"/>
      <c r="O2" s="145"/>
      <c r="P2" s="145"/>
    </row>
    <row r="3" spans="1:21" x14ac:dyDescent="0.25">
      <c r="A3" s="36"/>
      <c r="B3" s="38" t="s">
        <v>24</v>
      </c>
      <c r="C3" s="37"/>
      <c r="D3" s="40"/>
      <c r="E3" s="40"/>
      <c r="F3" s="40"/>
      <c r="G3" s="40">
        <v>1</v>
      </c>
      <c r="H3" s="40">
        <f t="shared" ref="H3:P3" si="0">G3+1</f>
        <v>2</v>
      </c>
      <c r="I3" s="40">
        <f t="shared" si="0"/>
        <v>3</v>
      </c>
      <c r="J3" s="40">
        <f t="shared" si="0"/>
        <v>4</v>
      </c>
      <c r="K3" s="40">
        <f t="shared" si="0"/>
        <v>5</v>
      </c>
      <c r="L3" s="40">
        <f t="shared" si="0"/>
        <v>6</v>
      </c>
      <c r="M3" s="40">
        <f t="shared" si="0"/>
        <v>7</v>
      </c>
      <c r="N3" s="40">
        <f t="shared" si="0"/>
        <v>8</v>
      </c>
      <c r="O3" s="40">
        <f t="shared" si="0"/>
        <v>9</v>
      </c>
      <c r="P3" s="40">
        <f t="shared" si="0"/>
        <v>10</v>
      </c>
      <c r="Q3">
        <v>11</v>
      </c>
      <c r="R3">
        <v>12</v>
      </c>
      <c r="S3">
        <v>13</v>
      </c>
      <c r="T3">
        <v>14</v>
      </c>
      <c r="U3">
        <v>15</v>
      </c>
    </row>
    <row r="4" spans="1:21" ht="35.25" customHeight="1" x14ac:dyDescent="0.25">
      <c r="A4" s="36"/>
      <c r="B4" s="61" t="s">
        <v>279</v>
      </c>
      <c r="C4" s="37" t="s">
        <v>73</v>
      </c>
      <c r="D4" s="40">
        <v>10000</v>
      </c>
      <c r="E4" s="40">
        <v>650</v>
      </c>
      <c r="F4" s="40">
        <f>D4*E4</f>
        <v>6500000</v>
      </c>
      <c r="G4" s="40">
        <f>F4*0.5</f>
        <v>3250000</v>
      </c>
      <c r="H4" s="40">
        <f>F4</f>
        <v>6500000</v>
      </c>
      <c r="I4" s="40">
        <f>F4</f>
        <v>6500000</v>
      </c>
      <c r="J4" s="40">
        <f>F4</f>
        <v>6500000</v>
      </c>
      <c r="K4" s="40">
        <f t="shared" ref="K4:U4" si="1">J4</f>
        <v>6500000</v>
      </c>
      <c r="L4" s="40">
        <f t="shared" si="1"/>
        <v>6500000</v>
      </c>
      <c r="M4" s="40">
        <f t="shared" si="1"/>
        <v>6500000</v>
      </c>
      <c r="N4" s="40">
        <f t="shared" si="1"/>
        <v>6500000</v>
      </c>
      <c r="O4" s="40">
        <f t="shared" si="1"/>
        <v>6500000</v>
      </c>
      <c r="P4" s="40">
        <f t="shared" si="1"/>
        <v>6500000</v>
      </c>
      <c r="Q4" s="40">
        <f t="shared" si="1"/>
        <v>6500000</v>
      </c>
      <c r="R4" s="40">
        <f t="shared" si="1"/>
        <v>6500000</v>
      </c>
      <c r="S4" s="40">
        <f t="shared" si="1"/>
        <v>6500000</v>
      </c>
      <c r="T4" s="40">
        <f t="shared" si="1"/>
        <v>6500000</v>
      </c>
      <c r="U4" s="40">
        <f t="shared" si="1"/>
        <v>6500000</v>
      </c>
    </row>
    <row r="5" spans="1:21" x14ac:dyDescent="0.25">
      <c r="A5" s="36"/>
      <c r="B5" s="62"/>
      <c r="C5" s="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</row>
    <row r="6" spans="1:21" x14ac:dyDescent="0.25">
      <c r="A6" s="36"/>
      <c r="B6" s="38" t="s">
        <v>30</v>
      </c>
      <c r="C6" s="37"/>
      <c r="D6" s="40"/>
      <c r="E6" s="40"/>
      <c r="F6" s="39">
        <f t="shared" ref="F6:U6" si="2">SUM(F4:F5)</f>
        <v>6500000</v>
      </c>
      <c r="G6" s="39">
        <f t="shared" si="2"/>
        <v>3250000</v>
      </c>
      <c r="H6" s="39">
        <f t="shared" si="2"/>
        <v>6500000</v>
      </c>
      <c r="I6" s="39">
        <f t="shared" si="2"/>
        <v>6500000</v>
      </c>
      <c r="J6" s="39">
        <f t="shared" si="2"/>
        <v>6500000</v>
      </c>
      <c r="K6" s="39">
        <f t="shared" si="2"/>
        <v>6500000</v>
      </c>
      <c r="L6" s="39">
        <f t="shared" si="2"/>
        <v>6500000</v>
      </c>
      <c r="M6" s="39">
        <f t="shared" si="2"/>
        <v>6500000</v>
      </c>
      <c r="N6" s="39">
        <f t="shared" si="2"/>
        <v>6500000</v>
      </c>
      <c r="O6" s="39">
        <f t="shared" si="2"/>
        <v>6500000</v>
      </c>
      <c r="P6" s="39">
        <f t="shared" si="2"/>
        <v>6500000</v>
      </c>
      <c r="Q6" s="39">
        <f t="shared" si="2"/>
        <v>6500000</v>
      </c>
      <c r="R6" s="39">
        <f t="shared" si="2"/>
        <v>6500000</v>
      </c>
      <c r="S6" s="39">
        <f t="shared" si="2"/>
        <v>6500000</v>
      </c>
      <c r="T6" s="39">
        <f t="shared" si="2"/>
        <v>6500000</v>
      </c>
      <c r="U6" s="39">
        <f t="shared" si="2"/>
        <v>6500000</v>
      </c>
    </row>
    <row r="7" spans="1:21" x14ac:dyDescent="0.25">
      <c r="A7" s="36"/>
      <c r="B7" s="37"/>
      <c r="C7" s="37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</row>
    <row r="8" spans="1:21" x14ac:dyDescent="0.25">
      <c r="A8" s="36"/>
      <c r="B8" s="43" t="s">
        <v>280</v>
      </c>
      <c r="C8" s="37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</row>
    <row r="9" spans="1:21" x14ac:dyDescent="0.25">
      <c r="A9" s="36"/>
      <c r="B9" s="38" t="s">
        <v>32</v>
      </c>
      <c r="C9" s="37"/>
      <c r="D9" s="40"/>
      <c r="E9" s="40"/>
      <c r="F9" s="44"/>
      <c r="G9" s="40"/>
      <c r="H9" s="40"/>
      <c r="I9" s="40"/>
      <c r="J9" s="40"/>
      <c r="K9" s="40"/>
      <c r="L9" s="40"/>
      <c r="M9" s="40"/>
      <c r="N9" s="40"/>
      <c r="O9" s="40"/>
      <c r="P9" s="40"/>
    </row>
    <row r="10" spans="1:21" x14ac:dyDescent="0.25">
      <c r="A10" s="36"/>
      <c r="B10" s="63" t="s">
        <v>281</v>
      </c>
      <c r="C10" s="37" t="s">
        <v>36</v>
      </c>
      <c r="D10" s="40">
        <v>10</v>
      </c>
      <c r="E10" s="40">
        <v>100000</v>
      </c>
      <c r="F10" s="40">
        <f>D10*E10</f>
        <v>1000000</v>
      </c>
      <c r="G10" s="40">
        <f>D10*E10</f>
        <v>1000000</v>
      </c>
      <c r="H10" s="40">
        <f>G10</f>
        <v>1000000</v>
      </c>
      <c r="I10" s="40">
        <v>0</v>
      </c>
      <c r="J10" s="40">
        <v>0</v>
      </c>
      <c r="K10" s="40"/>
      <c r="L10" s="40">
        <f>G10</f>
        <v>1000000</v>
      </c>
      <c r="M10" s="40"/>
      <c r="N10" s="40"/>
      <c r="O10" s="40">
        <f>L10</f>
        <v>1000000</v>
      </c>
      <c r="P10" s="40">
        <f>K10</f>
        <v>0</v>
      </c>
      <c r="T10" s="48">
        <f>O10</f>
        <v>1000000</v>
      </c>
      <c r="U10" s="48"/>
    </row>
    <row r="11" spans="1:21" x14ac:dyDescent="0.25">
      <c r="A11" s="36"/>
      <c r="B11" s="63" t="s">
        <v>67</v>
      </c>
      <c r="C11" s="37" t="s">
        <v>36</v>
      </c>
      <c r="D11" s="40">
        <v>1</v>
      </c>
      <c r="E11" s="40">
        <v>50000</v>
      </c>
      <c r="F11" s="40">
        <f t="shared" ref="F11:F20" si="3">D11*E11</f>
        <v>50000</v>
      </c>
      <c r="G11" s="40">
        <f>D11*E11</f>
        <v>50000</v>
      </c>
      <c r="H11" s="40">
        <v>0</v>
      </c>
      <c r="I11" s="40">
        <v>0</v>
      </c>
      <c r="J11" s="40">
        <v>0</v>
      </c>
      <c r="K11" s="40">
        <v>0</v>
      </c>
      <c r="L11" s="40"/>
      <c r="M11" s="40"/>
      <c r="N11" s="40"/>
      <c r="O11" s="40"/>
      <c r="P11" s="40"/>
    </row>
    <row r="12" spans="1:21" x14ac:dyDescent="0.25">
      <c r="A12" s="36"/>
      <c r="B12" s="38" t="s">
        <v>37</v>
      </c>
      <c r="C12" s="37"/>
      <c r="D12" s="40"/>
      <c r="E12" s="40"/>
      <c r="F12" s="39">
        <f t="shared" ref="F12:K12" si="4">SUM(F10:F11)</f>
        <v>1050000</v>
      </c>
      <c r="G12" s="39">
        <f t="shared" si="4"/>
        <v>1050000</v>
      </c>
      <c r="H12" s="39">
        <f t="shared" si="4"/>
        <v>1000000</v>
      </c>
      <c r="I12" s="39">
        <f t="shared" si="4"/>
        <v>0</v>
      </c>
      <c r="J12" s="39">
        <f t="shared" si="4"/>
        <v>0</v>
      </c>
      <c r="K12" s="39">
        <f t="shared" si="4"/>
        <v>0</v>
      </c>
      <c r="L12" s="39"/>
      <c r="M12" s="39">
        <f t="shared" ref="M12:U12" si="5">SUM(M10:M11)</f>
        <v>0</v>
      </c>
      <c r="N12" s="39">
        <f t="shared" si="5"/>
        <v>0</v>
      </c>
      <c r="O12" s="39"/>
      <c r="P12" s="39">
        <f t="shared" si="5"/>
        <v>0</v>
      </c>
      <c r="Q12" s="39"/>
      <c r="R12" s="39">
        <f t="shared" si="5"/>
        <v>0</v>
      </c>
      <c r="S12" s="39">
        <f t="shared" si="5"/>
        <v>0</v>
      </c>
      <c r="T12" s="39">
        <f t="shared" si="5"/>
        <v>1000000</v>
      </c>
      <c r="U12" s="39">
        <f t="shared" si="5"/>
        <v>0</v>
      </c>
    </row>
    <row r="13" spans="1:21" x14ac:dyDescent="0.25">
      <c r="A13" s="36"/>
      <c r="B13" s="37"/>
      <c r="C13" s="37"/>
      <c r="D13" s="40"/>
      <c r="E13" s="40"/>
      <c r="F13" s="40">
        <f t="shared" si="3"/>
        <v>0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</row>
    <row r="14" spans="1:21" x14ac:dyDescent="0.25">
      <c r="A14" s="36"/>
      <c r="B14" s="38" t="s">
        <v>282</v>
      </c>
      <c r="C14" s="37"/>
      <c r="D14" s="40"/>
      <c r="E14" s="40"/>
      <c r="F14" s="40">
        <f t="shared" si="3"/>
        <v>0</v>
      </c>
      <c r="G14" s="40"/>
      <c r="H14" s="40"/>
      <c r="I14" s="40"/>
      <c r="J14" s="40"/>
      <c r="K14" s="40"/>
      <c r="L14" s="40"/>
      <c r="M14" s="40"/>
      <c r="N14" s="40"/>
      <c r="O14" s="40"/>
      <c r="P14" s="40"/>
    </row>
    <row r="15" spans="1:21" x14ac:dyDescent="0.25">
      <c r="B15" s="153" t="s">
        <v>282</v>
      </c>
      <c r="C15" s="37" t="s">
        <v>298</v>
      </c>
      <c r="D15" s="40"/>
      <c r="E15" s="40">
        <v>1000000</v>
      </c>
      <c r="F15" s="40">
        <f>E15</f>
        <v>1000000</v>
      </c>
      <c r="G15" s="40">
        <f>F15</f>
        <v>1000000</v>
      </c>
      <c r="H15" s="40">
        <f>F15</f>
        <v>1000000</v>
      </c>
      <c r="I15" s="40">
        <f t="shared" ref="I15:U20" si="6">H15</f>
        <v>1000000</v>
      </c>
      <c r="J15" s="40">
        <f t="shared" si="6"/>
        <v>1000000</v>
      </c>
      <c r="K15" s="40">
        <f t="shared" si="6"/>
        <v>1000000</v>
      </c>
      <c r="L15" s="40">
        <f t="shared" si="6"/>
        <v>1000000</v>
      </c>
      <c r="M15" s="40">
        <f t="shared" si="6"/>
        <v>1000000</v>
      </c>
      <c r="N15" s="40">
        <f t="shared" si="6"/>
        <v>1000000</v>
      </c>
      <c r="O15" s="40">
        <f t="shared" si="6"/>
        <v>1000000</v>
      </c>
      <c r="P15" s="40">
        <f t="shared" si="6"/>
        <v>1000000</v>
      </c>
      <c r="Q15" s="40">
        <f t="shared" si="6"/>
        <v>1000000</v>
      </c>
      <c r="R15" s="40">
        <f t="shared" si="6"/>
        <v>1000000</v>
      </c>
      <c r="S15" s="40">
        <f t="shared" si="6"/>
        <v>1000000</v>
      </c>
      <c r="T15" s="40">
        <f t="shared" si="6"/>
        <v>1000000</v>
      </c>
      <c r="U15" s="40">
        <f t="shared" si="6"/>
        <v>1000000</v>
      </c>
    </row>
    <row r="16" spans="1:21" x14ac:dyDescent="0.25">
      <c r="A16" s="36"/>
      <c r="B16" s="154" t="s">
        <v>283</v>
      </c>
      <c r="C16" s="37" t="s">
        <v>298</v>
      </c>
      <c r="D16" s="40">
        <v>2000</v>
      </c>
      <c r="E16" s="40">
        <v>900</v>
      </c>
      <c r="F16" s="40">
        <f>D16*E16</f>
        <v>1800000</v>
      </c>
      <c r="G16" s="40">
        <f>F16*0.75</f>
        <v>1350000</v>
      </c>
      <c r="H16" s="40">
        <f>F16</f>
        <v>1800000</v>
      </c>
      <c r="I16" s="40">
        <f>H16</f>
        <v>1800000</v>
      </c>
      <c r="J16" s="40">
        <f>I16</f>
        <v>1800000</v>
      </c>
      <c r="K16" s="40">
        <f t="shared" si="6"/>
        <v>1800000</v>
      </c>
      <c r="L16" s="40">
        <f t="shared" si="6"/>
        <v>1800000</v>
      </c>
      <c r="M16" s="40">
        <f t="shared" si="6"/>
        <v>1800000</v>
      </c>
      <c r="N16" s="40">
        <f t="shared" si="6"/>
        <v>1800000</v>
      </c>
      <c r="O16" s="40">
        <f t="shared" si="6"/>
        <v>1800000</v>
      </c>
      <c r="P16" s="40">
        <f t="shared" si="6"/>
        <v>1800000</v>
      </c>
      <c r="Q16" s="40">
        <f t="shared" si="6"/>
        <v>1800000</v>
      </c>
      <c r="R16" s="40">
        <f t="shared" si="6"/>
        <v>1800000</v>
      </c>
      <c r="S16" s="40">
        <f t="shared" si="6"/>
        <v>1800000</v>
      </c>
      <c r="T16" s="40">
        <f t="shared" si="6"/>
        <v>1800000</v>
      </c>
      <c r="U16" s="40">
        <f t="shared" si="6"/>
        <v>1800000</v>
      </c>
    </row>
    <row r="17" spans="1:22" x14ac:dyDescent="0.25">
      <c r="A17" s="36"/>
      <c r="B17" s="154" t="s">
        <v>284</v>
      </c>
      <c r="C17" s="37" t="s">
        <v>298</v>
      </c>
      <c r="D17" s="40">
        <v>12</v>
      </c>
      <c r="E17" s="40">
        <v>45000</v>
      </c>
      <c r="F17" s="40">
        <f t="shared" si="3"/>
        <v>540000</v>
      </c>
      <c r="G17" s="40">
        <f>F17</f>
        <v>540000</v>
      </c>
      <c r="H17" s="40">
        <f>D17*E17*1</f>
        <v>540000</v>
      </c>
      <c r="I17" s="40">
        <f>D17*E17*1</f>
        <v>540000</v>
      </c>
      <c r="J17" s="40">
        <f>D17*E17</f>
        <v>540000</v>
      </c>
      <c r="K17" s="40">
        <f t="shared" si="6"/>
        <v>540000</v>
      </c>
      <c r="L17" s="40">
        <f t="shared" si="6"/>
        <v>540000</v>
      </c>
      <c r="M17" s="40">
        <f t="shared" si="6"/>
        <v>540000</v>
      </c>
      <c r="N17" s="40">
        <f t="shared" si="6"/>
        <v>540000</v>
      </c>
      <c r="O17" s="40">
        <f t="shared" si="6"/>
        <v>540000</v>
      </c>
      <c r="P17" s="40">
        <f t="shared" si="6"/>
        <v>540000</v>
      </c>
      <c r="Q17" s="40">
        <f t="shared" si="6"/>
        <v>540000</v>
      </c>
      <c r="R17" s="40">
        <f t="shared" si="6"/>
        <v>540000</v>
      </c>
      <c r="S17" s="40">
        <f t="shared" si="6"/>
        <v>540000</v>
      </c>
      <c r="T17" s="40">
        <f t="shared" si="6"/>
        <v>540000</v>
      </c>
      <c r="U17" s="40">
        <f t="shared" si="6"/>
        <v>540000</v>
      </c>
      <c r="V17" s="46"/>
    </row>
    <row r="18" spans="1:22" ht="30" x14ac:dyDescent="0.25">
      <c r="A18" s="36"/>
      <c r="B18" s="154" t="s">
        <v>285</v>
      </c>
      <c r="C18" s="37" t="s">
        <v>298</v>
      </c>
      <c r="D18" s="40">
        <v>12</v>
      </c>
      <c r="E18" s="40">
        <v>55000</v>
      </c>
      <c r="F18" s="40">
        <f t="shared" si="3"/>
        <v>660000</v>
      </c>
      <c r="G18" s="40">
        <f>F18</f>
        <v>660000</v>
      </c>
      <c r="H18" s="40">
        <f>F18</f>
        <v>660000</v>
      </c>
      <c r="I18" s="40">
        <f t="shared" ref="I18:P20" si="7">H18</f>
        <v>660000</v>
      </c>
      <c r="J18" s="40">
        <f t="shared" si="7"/>
        <v>660000</v>
      </c>
      <c r="K18" s="40">
        <f t="shared" si="7"/>
        <v>660000</v>
      </c>
      <c r="L18" s="40">
        <f t="shared" si="7"/>
        <v>660000</v>
      </c>
      <c r="M18" s="40">
        <f t="shared" si="7"/>
        <v>660000</v>
      </c>
      <c r="N18" s="40">
        <f t="shared" si="7"/>
        <v>660000</v>
      </c>
      <c r="O18" s="40">
        <f t="shared" si="7"/>
        <v>660000</v>
      </c>
      <c r="P18" s="40">
        <f t="shared" si="7"/>
        <v>660000</v>
      </c>
      <c r="Q18" s="40">
        <f t="shared" si="6"/>
        <v>660000</v>
      </c>
      <c r="R18" s="40">
        <f t="shared" si="6"/>
        <v>660000</v>
      </c>
      <c r="S18" s="40">
        <f t="shared" si="6"/>
        <v>660000</v>
      </c>
      <c r="T18" s="40">
        <f t="shared" si="6"/>
        <v>660000</v>
      </c>
      <c r="U18" s="40">
        <f t="shared" si="6"/>
        <v>660000</v>
      </c>
      <c r="V18" s="46"/>
    </row>
    <row r="19" spans="1:22" x14ac:dyDescent="0.25">
      <c r="A19" s="36"/>
      <c r="B19" s="154" t="s">
        <v>286</v>
      </c>
      <c r="C19" s="37" t="s">
        <v>298</v>
      </c>
      <c r="D19" s="40">
        <v>100</v>
      </c>
      <c r="E19" s="40">
        <v>1000</v>
      </c>
      <c r="F19" s="40">
        <f t="shared" si="3"/>
        <v>100000</v>
      </c>
      <c r="G19" s="40">
        <f t="shared" ref="G19:U20" si="8">F19</f>
        <v>100000</v>
      </c>
      <c r="H19" s="40">
        <f t="shared" si="8"/>
        <v>100000</v>
      </c>
      <c r="I19" s="40">
        <f t="shared" si="8"/>
        <v>100000</v>
      </c>
      <c r="J19" s="40">
        <f t="shared" si="8"/>
        <v>100000</v>
      </c>
      <c r="K19" s="40">
        <f t="shared" si="8"/>
        <v>100000</v>
      </c>
      <c r="L19" s="40">
        <f t="shared" si="8"/>
        <v>100000</v>
      </c>
      <c r="M19" s="40">
        <f t="shared" si="8"/>
        <v>100000</v>
      </c>
      <c r="N19" s="40">
        <f t="shared" si="8"/>
        <v>100000</v>
      </c>
      <c r="O19" s="40">
        <f t="shared" si="8"/>
        <v>100000</v>
      </c>
      <c r="P19" s="40">
        <f t="shared" si="8"/>
        <v>100000</v>
      </c>
      <c r="Q19" s="40">
        <f t="shared" si="8"/>
        <v>100000</v>
      </c>
      <c r="R19" s="40">
        <f t="shared" si="8"/>
        <v>100000</v>
      </c>
      <c r="S19" s="40">
        <f t="shared" si="8"/>
        <v>100000</v>
      </c>
      <c r="T19" s="40">
        <f t="shared" si="8"/>
        <v>100000</v>
      </c>
      <c r="U19" s="40">
        <f t="shared" si="8"/>
        <v>100000</v>
      </c>
      <c r="V19" s="46"/>
    </row>
    <row r="20" spans="1:22" ht="30" x14ac:dyDescent="0.25">
      <c r="A20" s="36"/>
      <c r="B20" s="154" t="s">
        <v>287</v>
      </c>
      <c r="C20" s="37" t="s">
        <v>298</v>
      </c>
      <c r="D20" s="40">
        <v>1</v>
      </c>
      <c r="E20" s="40">
        <v>500000</v>
      </c>
      <c r="F20" s="40">
        <f t="shared" si="3"/>
        <v>500000</v>
      </c>
      <c r="G20" s="40">
        <f t="shared" si="8"/>
        <v>500000</v>
      </c>
      <c r="H20" s="40">
        <f>F20</f>
        <v>500000</v>
      </c>
      <c r="I20" s="40">
        <f>F20</f>
        <v>500000</v>
      </c>
      <c r="J20" s="40">
        <f>F20</f>
        <v>500000</v>
      </c>
      <c r="K20" s="40">
        <f>J20</f>
        <v>500000</v>
      </c>
      <c r="L20" s="40">
        <f t="shared" si="7"/>
        <v>500000</v>
      </c>
      <c r="M20" s="40">
        <f t="shared" si="7"/>
        <v>500000</v>
      </c>
      <c r="N20" s="40">
        <f t="shared" si="7"/>
        <v>500000</v>
      </c>
      <c r="O20" s="40">
        <f t="shared" si="7"/>
        <v>500000</v>
      </c>
      <c r="P20" s="40">
        <f t="shared" si="7"/>
        <v>500000</v>
      </c>
      <c r="Q20" s="40">
        <f t="shared" si="6"/>
        <v>500000</v>
      </c>
      <c r="R20" s="40">
        <f t="shared" si="6"/>
        <v>500000</v>
      </c>
      <c r="S20" s="40">
        <f t="shared" si="6"/>
        <v>500000</v>
      </c>
      <c r="T20" s="40">
        <f t="shared" si="6"/>
        <v>500000</v>
      </c>
      <c r="U20" s="40">
        <f t="shared" si="6"/>
        <v>500000</v>
      </c>
    </row>
    <row r="21" spans="1:22" x14ac:dyDescent="0.25">
      <c r="A21" s="36"/>
      <c r="B21" s="38" t="s">
        <v>44</v>
      </c>
      <c r="C21" s="37"/>
      <c r="D21" s="40"/>
      <c r="E21" s="40"/>
      <c r="F21" s="39">
        <f>SUM(F15:F20)</f>
        <v>4600000</v>
      </c>
      <c r="G21" s="39">
        <f t="shared" ref="G21:U21" si="9">SUM(G15:G20)</f>
        <v>4150000</v>
      </c>
      <c r="H21" s="39">
        <f t="shared" si="9"/>
        <v>4600000</v>
      </c>
      <c r="I21" s="39">
        <f t="shared" si="9"/>
        <v>4600000</v>
      </c>
      <c r="J21" s="39">
        <f t="shared" si="9"/>
        <v>4600000</v>
      </c>
      <c r="K21" s="39">
        <f t="shared" si="9"/>
        <v>4600000</v>
      </c>
      <c r="L21" s="39">
        <f t="shared" si="9"/>
        <v>4600000</v>
      </c>
      <c r="M21" s="39">
        <f t="shared" si="9"/>
        <v>4600000</v>
      </c>
      <c r="N21" s="39">
        <f t="shared" si="9"/>
        <v>4600000</v>
      </c>
      <c r="O21" s="39">
        <f t="shared" si="9"/>
        <v>4600000</v>
      </c>
      <c r="P21" s="39">
        <f t="shared" si="9"/>
        <v>4600000</v>
      </c>
      <c r="Q21" s="39">
        <f t="shared" si="9"/>
        <v>4600000</v>
      </c>
      <c r="R21" s="39">
        <f t="shared" si="9"/>
        <v>4600000</v>
      </c>
      <c r="S21" s="39">
        <f t="shared" si="9"/>
        <v>4600000</v>
      </c>
      <c r="T21" s="39">
        <f t="shared" si="9"/>
        <v>4600000</v>
      </c>
      <c r="U21" s="39">
        <f t="shared" si="9"/>
        <v>4600000</v>
      </c>
    </row>
    <row r="22" spans="1:22" x14ac:dyDescent="0.25">
      <c r="A22" s="36"/>
      <c r="B22" s="47"/>
      <c r="C22" s="37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</row>
    <row r="23" spans="1:22" x14ac:dyDescent="0.25">
      <c r="A23" s="36"/>
      <c r="B23" s="38" t="s">
        <v>45</v>
      </c>
      <c r="C23" s="37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</row>
    <row r="24" spans="1:22" x14ac:dyDescent="0.25">
      <c r="A24" s="36"/>
      <c r="B24" s="37" t="s">
        <v>46</v>
      </c>
      <c r="C24" s="37" t="s">
        <v>300</v>
      </c>
      <c r="D24" s="40">
        <v>1</v>
      </c>
      <c r="E24" s="40">
        <f>E11/12</f>
        <v>4166.666666666667</v>
      </c>
      <c r="F24" s="40">
        <f>D24*E24</f>
        <v>4166.666666666667</v>
      </c>
      <c r="G24" s="40">
        <f>F24</f>
        <v>4166.666666666667</v>
      </c>
      <c r="H24" s="40">
        <f>D24*E24</f>
        <v>4166.666666666667</v>
      </c>
      <c r="I24" s="40">
        <f t="shared" ref="I24:U24" si="10">H24</f>
        <v>4166.666666666667</v>
      </c>
      <c r="J24" s="40">
        <f t="shared" si="10"/>
        <v>4166.666666666667</v>
      </c>
      <c r="K24" s="40">
        <f t="shared" si="10"/>
        <v>4166.666666666667</v>
      </c>
      <c r="L24" s="40">
        <f t="shared" si="10"/>
        <v>4166.666666666667</v>
      </c>
      <c r="M24" s="40">
        <f t="shared" si="10"/>
        <v>4166.666666666667</v>
      </c>
      <c r="N24" s="40">
        <f t="shared" si="10"/>
        <v>4166.666666666667</v>
      </c>
      <c r="O24" s="40">
        <f t="shared" si="10"/>
        <v>4166.666666666667</v>
      </c>
      <c r="P24" s="40">
        <f t="shared" si="10"/>
        <v>4166.666666666667</v>
      </c>
      <c r="Q24" s="40">
        <f t="shared" si="10"/>
        <v>4166.666666666667</v>
      </c>
      <c r="R24" s="40">
        <f t="shared" si="10"/>
        <v>4166.666666666667</v>
      </c>
      <c r="S24" s="40">
        <f t="shared" si="10"/>
        <v>4166.666666666667</v>
      </c>
      <c r="T24" s="40">
        <f t="shared" si="10"/>
        <v>4166.666666666667</v>
      </c>
      <c r="U24" s="40">
        <f t="shared" si="10"/>
        <v>4166.666666666667</v>
      </c>
      <c r="V24" s="48">
        <f>SUM(H24:U24)</f>
        <v>58333.333333333321</v>
      </c>
    </row>
    <row r="25" spans="1:22" x14ac:dyDescent="0.25">
      <c r="A25" s="36"/>
      <c r="B25" s="38" t="s">
        <v>48</v>
      </c>
      <c r="C25" s="37"/>
      <c r="D25" s="40"/>
      <c r="E25" s="40"/>
      <c r="F25" s="39">
        <f t="shared" ref="F25:U25" si="11">SUM(F24:F24)</f>
        <v>4166.666666666667</v>
      </c>
      <c r="G25" s="39">
        <f t="shared" si="11"/>
        <v>4166.666666666667</v>
      </c>
      <c r="H25" s="39">
        <f t="shared" si="11"/>
        <v>4166.666666666667</v>
      </c>
      <c r="I25" s="39">
        <f t="shared" si="11"/>
        <v>4166.666666666667</v>
      </c>
      <c r="J25" s="39">
        <f t="shared" si="11"/>
        <v>4166.666666666667</v>
      </c>
      <c r="K25" s="39">
        <f t="shared" si="11"/>
        <v>4166.666666666667</v>
      </c>
      <c r="L25" s="39">
        <f t="shared" si="11"/>
        <v>4166.666666666667</v>
      </c>
      <c r="M25" s="39">
        <f t="shared" si="11"/>
        <v>4166.666666666667</v>
      </c>
      <c r="N25" s="39">
        <f t="shared" si="11"/>
        <v>4166.666666666667</v>
      </c>
      <c r="O25" s="39">
        <f t="shared" si="11"/>
        <v>4166.666666666667</v>
      </c>
      <c r="P25" s="39">
        <f t="shared" si="11"/>
        <v>4166.666666666667</v>
      </c>
      <c r="Q25" s="39">
        <f t="shared" si="11"/>
        <v>4166.666666666667</v>
      </c>
      <c r="R25" s="39">
        <f t="shared" si="11"/>
        <v>4166.666666666667</v>
      </c>
      <c r="S25" s="39">
        <f t="shared" si="11"/>
        <v>4166.666666666667</v>
      </c>
      <c r="T25" s="39">
        <f t="shared" si="11"/>
        <v>4166.666666666667</v>
      </c>
      <c r="U25" s="39">
        <f t="shared" si="11"/>
        <v>4166.666666666667</v>
      </c>
    </row>
    <row r="26" spans="1:22" x14ac:dyDescent="0.25">
      <c r="A26" s="36"/>
      <c r="B26" s="38" t="s">
        <v>49</v>
      </c>
      <c r="C26" s="37"/>
      <c r="D26" s="40"/>
      <c r="E26" s="40"/>
      <c r="F26" s="39">
        <f t="shared" ref="F26:U26" si="12">F12+F21+F25</f>
        <v>5654166.666666667</v>
      </c>
      <c r="G26" s="39">
        <f t="shared" si="12"/>
        <v>5204166.666666667</v>
      </c>
      <c r="H26" s="39">
        <f t="shared" si="12"/>
        <v>5604166.666666667</v>
      </c>
      <c r="I26" s="39">
        <f t="shared" si="12"/>
        <v>4604166.666666667</v>
      </c>
      <c r="J26" s="39">
        <f t="shared" si="12"/>
        <v>4604166.666666667</v>
      </c>
      <c r="K26" s="39">
        <f t="shared" si="12"/>
        <v>4604166.666666667</v>
      </c>
      <c r="L26" s="39">
        <f t="shared" si="12"/>
        <v>4604166.666666667</v>
      </c>
      <c r="M26" s="39">
        <f t="shared" si="12"/>
        <v>4604166.666666667</v>
      </c>
      <c r="N26" s="39">
        <f t="shared" si="12"/>
        <v>4604166.666666667</v>
      </c>
      <c r="O26" s="39">
        <f t="shared" si="12"/>
        <v>4604166.666666667</v>
      </c>
      <c r="P26" s="39">
        <f t="shared" si="12"/>
        <v>4604166.666666667</v>
      </c>
      <c r="Q26" s="39">
        <f t="shared" si="12"/>
        <v>4604166.666666667</v>
      </c>
      <c r="R26" s="39">
        <f t="shared" si="12"/>
        <v>4604166.666666667</v>
      </c>
      <c r="S26" s="39">
        <f t="shared" si="12"/>
        <v>4604166.666666667</v>
      </c>
      <c r="T26" s="39">
        <f t="shared" si="12"/>
        <v>5604166.666666667</v>
      </c>
      <c r="U26" s="39">
        <f t="shared" si="12"/>
        <v>4604166.666666667</v>
      </c>
    </row>
    <row r="27" spans="1:22" x14ac:dyDescent="0.25">
      <c r="A27" s="36"/>
      <c r="B27" s="38"/>
      <c r="C27" s="37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</row>
    <row r="28" spans="1:22" x14ac:dyDescent="0.25">
      <c r="A28" s="36"/>
      <c r="B28" s="38" t="s">
        <v>50</v>
      </c>
      <c r="C28" s="37" t="s">
        <v>300</v>
      </c>
      <c r="D28" s="40"/>
      <c r="E28" s="40"/>
      <c r="F28" s="40"/>
      <c r="G28" s="39">
        <f t="shared" ref="G28:U28" si="13">G6-G12-G21</f>
        <v>-1950000</v>
      </c>
      <c r="H28" s="39">
        <f t="shared" si="13"/>
        <v>900000</v>
      </c>
      <c r="I28" s="39">
        <f t="shared" si="13"/>
        <v>1900000</v>
      </c>
      <c r="J28" s="39">
        <f t="shared" si="13"/>
        <v>1900000</v>
      </c>
      <c r="K28" s="39">
        <f t="shared" si="13"/>
        <v>1900000</v>
      </c>
      <c r="L28" s="39">
        <f t="shared" si="13"/>
        <v>1900000</v>
      </c>
      <c r="M28" s="39">
        <f t="shared" si="13"/>
        <v>1900000</v>
      </c>
      <c r="N28" s="39">
        <f t="shared" si="13"/>
        <v>1900000</v>
      </c>
      <c r="O28" s="39">
        <f t="shared" si="13"/>
        <v>1900000</v>
      </c>
      <c r="P28" s="39">
        <f t="shared" si="13"/>
        <v>1900000</v>
      </c>
      <c r="Q28" s="39">
        <f t="shared" si="13"/>
        <v>1900000</v>
      </c>
      <c r="R28" s="39">
        <f t="shared" si="13"/>
        <v>1900000</v>
      </c>
      <c r="S28" s="39">
        <f t="shared" si="13"/>
        <v>1900000</v>
      </c>
      <c r="T28" s="39">
        <f t="shared" si="13"/>
        <v>900000</v>
      </c>
      <c r="U28" s="39">
        <f t="shared" si="13"/>
        <v>1900000</v>
      </c>
    </row>
    <row r="29" spans="1:22" x14ac:dyDescent="0.25">
      <c r="A29" s="36"/>
      <c r="B29" s="38" t="s">
        <v>71</v>
      </c>
      <c r="C29" s="37" t="s">
        <v>300</v>
      </c>
      <c r="D29" s="40"/>
      <c r="E29" s="40"/>
      <c r="F29" s="40"/>
      <c r="G29" s="39">
        <f>G28-G25</f>
        <v>-1954166.6666666667</v>
      </c>
      <c r="H29" s="39">
        <f>-(H28-H25)</f>
        <v>-895833.33333333337</v>
      </c>
      <c r="I29" s="39">
        <f>-(I28-I25)</f>
        <v>-1895833.3333333333</v>
      </c>
      <c r="J29" s="39">
        <f>J28-J25</f>
        <v>1895833.3333333333</v>
      </c>
      <c r="K29" s="39">
        <f>K28-K25</f>
        <v>1895833.3333333333</v>
      </c>
      <c r="L29" s="39">
        <f t="shared" ref="L29:U29" si="14">L28-L25</f>
        <v>1895833.3333333333</v>
      </c>
      <c r="M29" s="39">
        <f t="shared" si="14"/>
        <v>1895833.3333333333</v>
      </c>
      <c r="N29" s="39">
        <f t="shared" si="14"/>
        <v>1895833.3333333333</v>
      </c>
      <c r="O29" s="39">
        <f t="shared" si="14"/>
        <v>1895833.3333333333</v>
      </c>
      <c r="P29" s="39">
        <f t="shared" si="14"/>
        <v>1895833.3333333333</v>
      </c>
      <c r="Q29" s="39">
        <f t="shared" si="14"/>
        <v>1895833.3333333333</v>
      </c>
      <c r="R29" s="39">
        <f t="shared" si="14"/>
        <v>1895833.3333333333</v>
      </c>
      <c r="S29" s="39">
        <f t="shared" si="14"/>
        <v>1895833.3333333333</v>
      </c>
      <c r="T29" s="39">
        <f t="shared" si="14"/>
        <v>895833.33333333337</v>
      </c>
      <c r="U29" s="39">
        <f t="shared" si="14"/>
        <v>1895833.3333333333</v>
      </c>
    </row>
    <row r="30" spans="1:22" x14ac:dyDescent="0.25">
      <c r="A30" s="1"/>
      <c r="B30" s="140" t="s">
        <v>52</v>
      </c>
      <c r="C30" s="141"/>
      <c r="D30" s="141"/>
      <c r="E30" s="141"/>
      <c r="F30" s="142"/>
      <c r="G30" s="53">
        <f>IRR(G29:U29)</f>
        <v>0.28445843086274869</v>
      </c>
      <c r="H30" s="54"/>
      <c r="I30" s="54"/>
      <c r="J30" s="54"/>
      <c r="K30" s="54"/>
      <c r="L30" s="54"/>
      <c r="M30" s="54"/>
      <c r="N30" s="54"/>
      <c r="O30" s="54"/>
      <c r="P30" s="54"/>
    </row>
    <row r="31" spans="1:22" x14ac:dyDescent="0.25">
      <c r="A31" s="1"/>
      <c r="B31" s="140" t="s">
        <v>53</v>
      </c>
      <c r="C31" s="141"/>
      <c r="D31" s="141"/>
      <c r="E31" s="141"/>
      <c r="F31" s="142"/>
      <c r="G31" s="55">
        <f>NPV(0.1,G29:U29)</f>
        <v>5500629.9885497745</v>
      </c>
      <c r="H31" s="54"/>
      <c r="I31" s="54"/>
      <c r="J31" s="54"/>
      <c r="K31" s="54"/>
      <c r="L31" s="54"/>
      <c r="M31" s="54"/>
      <c r="N31" s="54"/>
      <c r="O31" s="54"/>
      <c r="P31" s="54"/>
    </row>
    <row r="32" spans="1:22" x14ac:dyDescent="0.25">
      <c r="A32" s="1"/>
      <c r="B32" s="148"/>
      <c r="C32" s="148"/>
      <c r="D32" s="148"/>
      <c r="E32" s="148"/>
      <c r="F32" s="148"/>
      <c r="G32" s="56"/>
      <c r="H32" s="57"/>
      <c r="I32" s="57"/>
      <c r="J32" s="57"/>
      <c r="K32" s="57"/>
      <c r="L32" s="57"/>
      <c r="M32" s="57"/>
      <c r="N32" s="57"/>
      <c r="O32" s="57"/>
      <c r="P32" s="57"/>
    </row>
    <row r="33" spans="1:21" x14ac:dyDescent="0.25">
      <c r="A33" s="1"/>
      <c r="B33" s="148"/>
      <c r="C33" s="149"/>
      <c r="D33" s="149"/>
      <c r="E33" s="149"/>
      <c r="F33" s="149"/>
      <c r="G33" s="58"/>
      <c r="H33" s="57"/>
      <c r="I33" s="57"/>
      <c r="J33" s="57"/>
      <c r="K33" s="57"/>
      <c r="L33" s="57"/>
      <c r="M33" s="57"/>
      <c r="N33" s="57"/>
      <c r="O33" s="57"/>
      <c r="P33" s="57"/>
    </row>
    <row r="34" spans="1:21" x14ac:dyDescent="0.25">
      <c r="A34" s="1"/>
      <c r="B34" s="148"/>
      <c r="C34" s="149"/>
      <c r="D34" s="149"/>
      <c r="E34" s="149"/>
      <c r="F34" s="149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</row>
    <row r="35" spans="1:21" x14ac:dyDescent="0.25">
      <c r="A35" s="1"/>
      <c r="B35" s="146"/>
      <c r="C35" s="147"/>
      <c r="D35" s="147"/>
      <c r="E35" s="147"/>
      <c r="F35" s="147"/>
      <c r="G35" s="53"/>
      <c r="H35" s="57"/>
      <c r="I35" s="57"/>
      <c r="J35" s="57"/>
      <c r="K35" s="57"/>
      <c r="L35" s="57"/>
      <c r="M35" s="57"/>
      <c r="N35" s="57"/>
      <c r="O35" s="57"/>
      <c r="P35" s="57"/>
    </row>
    <row r="36" spans="1:21" x14ac:dyDescent="0.25">
      <c r="A36" s="1"/>
      <c r="B36" s="146"/>
      <c r="C36" s="147"/>
      <c r="D36" s="147"/>
      <c r="E36" s="147"/>
      <c r="F36" s="147"/>
      <c r="G36" s="55"/>
      <c r="H36" s="57"/>
      <c r="I36" s="57"/>
      <c r="J36" s="57"/>
      <c r="K36" s="57"/>
      <c r="L36" s="57"/>
      <c r="M36" s="57"/>
      <c r="N36" s="57"/>
      <c r="O36" s="57"/>
      <c r="P36" s="57"/>
    </row>
    <row r="37" spans="1:21" x14ac:dyDescent="0.25">
      <c r="A37" s="1"/>
      <c r="B37" s="50"/>
      <c r="C37" s="51"/>
      <c r="D37" s="51"/>
      <c r="E37" s="51"/>
      <c r="F37" s="52"/>
      <c r="G37" s="55"/>
      <c r="H37" s="54"/>
      <c r="I37" s="54"/>
      <c r="J37" s="54"/>
      <c r="K37" s="54"/>
      <c r="L37" s="54"/>
      <c r="M37" s="54"/>
      <c r="N37" s="54"/>
      <c r="O37" s="54"/>
      <c r="P37" s="54"/>
    </row>
    <row r="38" spans="1:21" x14ac:dyDescent="0.25">
      <c r="A38" s="36"/>
      <c r="B38" s="36"/>
      <c r="C38" s="36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</row>
    <row r="39" spans="1:21" x14ac:dyDescent="0.25">
      <c r="A39" s="36"/>
      <c r="B39" s="143" t="s">
        <v>54</v>
      </c>
      <c r="C39" s="143"/>
      <c r="D39" s="143"/>
      <c r="E39" s="143"/>
      <c r="F39" s="143"/>
      <c r="G39" s="143"/>
      <c r="H39" s="143"/>
      <c r="I39" s="143"/>
      <c r="J39" s="143"/>
      <c r="K39" s="143"/>
      <c r="L39" s="143"/>
      <c r="M39" s="143"/>
      <c r="N39" s="143"/>
      <c r="O39" s="143"/>
      <c r="P39" s="143"/>
    </row>
    <row r="40" spans="1:21" x14ac:dyDescent="0.25">
      <c r="A40" s="36"/>
      <c r="B40" s="37"/>
      <c r="C40" s="38" t="s">
        <v>19</v>
      </c>
      <c r="D40" s="39" t="s">
        <v>20</v>
      </c>
      <c r="E40" s="39" t="s">
        <v>21</v>
      </c>
      <c r="F40" s="39" t="s">
        <v>22</v>
      </c>
      <c r="G40" s="144" t="s">
        <v>23</v>
      </c>
      <c r="H40" s="145"/>
      <c r="I40" s="145"/>
      <c r="J40" s="145"/>
      <c r="K40" s="145"/>
      <c r="L40" s="145"/>
      <c r="M40" s="145"/>
      <c r="N40" s="145"/>
      <c r="O40" s="145"/>
      <c r="P40" s="145"/>
    </row>
    <row r="41" spans="1:21" x14ac:dyDescent="0.25">
      <c r="A41" s="36"/>
      <c r="B41" s="38" t="s">
        <v>24</v>
      </c>
      <c r="C41" s="37"/>
      <c r="D41" s="40"/>
      <c r="E41" s="40"/>
      <c r="F41" s="40"/>
      <c r="G41" s="40">
        <v>1</v>
      </c>
      <c r="H41" s="40">
        <f t="shared" ref="H41:P41" si="15">G41+1</f>
        <v>2</v>
      </c>
      <c r="I41" s="40">
        <f t="shared" si="15"/>
        <v>3</v>
      </c>
      <c r="J41" s="40">
        <f t="shared" si="15"/>
        <v>4</v>
      </c>
      <c r="K41" s="40">
        <f t="shared" si="15"/>
        <v>5</v>
      </c>
      <c r="L41" s="40">
        <f t="shared" si="15"/>
        <v>6</v>
      </c>
      <c r="M41" s="40">
        <f t="shared" si="15"/>
        <v>7</v>
      </c>
      <c r="N41" s="40">
        <f t="shared" si="15"/>
        <v>8</v>
      </c>
      <c r="O41" s="40">
        <f t="shared" si="15"/>
        <v>9</v>
      </c>
      <c r="P41" s="40">
        <f t="shared" si="15"/>
        <v>10</v>
      </c>
      <c r="Q41">
        <v>11</v>
      </c>
      <c r="R41">
        <v>12</v>
      </c>
      <c r="S41">
        <v>13</v>
      </c>
      <c r="T41">
        <v>14</v>
      </c>
      <c r="U41">
        <v>15</v>
      </c>
    </row>
    <row r="42" spans="1:21" ht="35.25" customHeight="1" x14ac:dyDescent="0.25">
      <c r="A42" s="36"/>
      <c r="B42" s="61" t="str">
        <f>B4</f>
        <v>Energy saved</v>
      </c>
      <c r="C42" s="37" t="s">
        <v>297</v>
      </c>
      <c r="D42" s="40">
        <f>D4</f>
        <v>10000</v>
      </c>
      <c r="E42" s="40">
        <f>E4*0.92</f>
        <v>598</v>
      </c>
      <c r="F42" s="40">
        <f>D42*E42</f>
        <v>5980000</v>
      </c>
      <c r="G42" s="40">
        <f>F42*0.5</f>
        <v>2990000</v>
      </c>
      <c r="H42" s="40">
        <f>F42</f>
        <v>5980000</v>
      </c>
      <c r="I42" s="40">
        <f>F42</f>
        <v>5980000</v>
      </c>
      <c r="J42" s="40">
        <f>F42</f>
        <v>5980000</v>
      </c>
      <c r="K42" s="40">
        <f t="shared" ref="K42:U42" si="16">J42</f>
        <v>5980000</v>
      </c>
      <c r="L42" s="40">
        <f t="shared" si="16"/>
        <v>5980000</v>
      </c>
      <c r="M42" s="40">
        <f t="shared" si="16"/>
        <v>5980000</v>
      </c>
      <c r="N42" s="40">
        <f t="shared" si="16"/>
        <v>5980000</v>
      </c>
      <c r="O42" s="40">
        <f t="shared" si="16"/>
        <v>5980000</v>
      </c>
      <c r="P42" s="40">
        <f t="shared" si="16"/>
        <v>5980000</v>
      </c>
      <c r="Q42" s="40">
        <f t="shared" si="16"/>
        <v>5980000</v>
      </c>
      <c r="R42" s="40">
        <f t="shared" si="16"/>
        <v>5980000</v>
      </c>
      <c r="S42" s="40">
        <f t="shared" si="16"/>
        <v>5980000</v>
      </c>
      <c r="T42" s="40">
        <f t="shared" si="16"/>
        <v>5980000</v>
      </c>
      <c r="U42" s="40">
        <f t="shared" si="16"/>
        <v>5980000</v>
      </c>
    </row>
    <row r="43" spans="1:21" x14ac:dyDescent="0.25">
      <c r="A43" s="36"/>
      <c r="B43" s="38" t="s">
        <v>30</v>
      </c>
      <c r="C43" s="37"/>
      <c r="D43" s="40">
        <f t="shared" ref="D43:D61" si="17">D6</f>
        <v>0</v>
      </c>
      <c r="E43" s="40">
        <f t="shared" ref="E43:E57" si="18">E6*0.9</f>
        <v>0</v>
      </c>
      <c r="F43" s="39">
        <f t="shared" ref="F43:U43" si="19">SUM(F42:F42)</f>
        <v>5980000</v>
      </c>
      <c r="G43" s="39">
        <f t="shared" si="19"/>
        <v>2990000</v>
      </c>
      <c r="H43" s="39">
        <f t="shared" si="19"/>
        <v>5980000</v>
      </c>
      <c r="I43" s="39">
        <f t="shared" si="19"/>
        <v>5980000</v>
      </c>
      <c r="J43" s="39">
        <f t="shared" si="19"/>
        <v>5980000</v>
      </c>
      <c r="K43" s="39">
        <f t="shared" si="19"/>
        <v>5980000</v>
      </c>
      <c r="L43" s="39">
        <f t="shared" si="19"/>
        <v>5980000</v>
      </c>
      <c r="M43" s="39">
        <f t="shared" si="19"/>
        <v>5980000</v>
      </c>
      <c r="N43" s="39">
        <f t="shared" si="19"/>
        <v>5980000</v>
      </c>
      <c r="O43" s="39">
        <f t="shared" si="19"/>
        <v>5980000</v>
      </c>
      <c r="P43" s="39">
        <f t="shared" si="19"/>
        <v>5980000</v>
      </c>
      <c r="Q43" s="39">
        <f t="shared" si="19"/>
        <v>5980000</v>
      </c>
      <c r="R43" s="39">
        <f t="shared" si="19"/>
        <v>5980000</v>
      </c>
      <c r="S43" s="39">
        <f t="shared" si="19"/>
        <v>5980000</v>
      </c>
      <c r="T43" s="39">
        <f t="shared" si="19"/>
        <v>5980000</v>
      </c>
      <c r="U43" s="39">
        <f t="shared" si="19"/>
        <v>5980000</v>
      </c>
    </row>
    <row r="44" spans="1:21" x14ac:dyDescent="0.25">
      <c r="A44" s="36"/>
      <c r="B44" s="37"/>
      <c r="C44" s="37"/>
      <c r="D44" s="40">
        <f t="shared" si="17"/>
        <v>0</v>
      </c>
      <c r="E44" s="40">
        <f t="shared" si="18"/>
        <v>0</v>
      </c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</row>
    <row r="45" spans="1:21" x14ac:dyDescent="0.25">
      <c r="A45" s="36"/>
      <c r="B45" s="43" t="s">
        <v>31</v>
      </c>
      <c r="C45" s="37"/>
      <c r="D45" s="40">
        <f t="shared" si="17"/>
        <v>0</v>
      </c>
      <c r="E45" s="40">
        <f t="shared" si="18"/>
        <v>0</v>
      </c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</row>
    <row r="46" spans="1:21" x14ac:dyDescent="0.25">
      <c r="A46" s="36"/>
      <c r="B46" s="38" t="s">
        <v>32</v>
      </c>
      <c r="C46" s="37"/>
      <c r="D46" s="40">
        <f t="shared" si="17"/>
        <v>0</v>
      </c>
      <c r="E46" s="40">
        <f t="shared" si="18"/>
        <v>0</v>
      </c>
      <c r="F46" s="44"/>
      <c r="G46" s="40"/>
      <c r="H46" s="40"/>
      <c r="I46" s="40"/>
      <c r="J46" s="40"/>
      <c r="K46" s="40"/>
      <c r="L46" s="40"/>
      <c r="M46" s="40"/>
      <c r="N46" s="40"/>
      <c r="O46" s="40"/>
      <c r="P46" s="40"/>
    </row>
    <row r="47" spans="1:21" x14ac:dyDescent="0.25">
      <c r="A47" s="36"/>
      <c r="B47" s="63" t="s">
        <v>288</v>
      </c>
      <c r="C47" s="37" t="s">
        <v>36</v>
      </c>
      <c r="D47" s="40">
        <f t="shared" si="17"/>
        <v>10</v>
      </c>
      <c r="E47" s="40">
        <f t="shared" si="18"/>
        <v>90000</v>
      </c>
      <c r="F47" s="40">
        <f>D47*E47</f>
        <v>900000</v>
      </c>
      <c r="G47" s="40">
        <f>D47*E47</f>
        <v>900000</v>
      </c>
      <c r="H47" s="40">
        <v>0</v>
      </c>
      <c r="I47" s="40">
        <v>0</v>
      </c>
      <c r="J47" s="40">
        <v>0</v>
      </c>
      <c r="K47" s="40"/>
      <c r="L47" s="40"/>
      <c r="M47" s="40"/>
      <c r="N47" s="40"/>
      <c r="O47" s="40"/>
      <c r="P47" s="40">
        <f>K47</f>
        <v>0</v>
      </c>
    </row>
    <row r="48" spans="1:21" x14ac:dyDescent="0.25">
      <c r="A48" s="36"/>
      <c r="B48" s="63" t="s">
        <v>67</v>
      </c>
      <c r="C48" s="37" t="s">
        <v>36</v>
      </c>
      <c r="D48" s="40">
        <f t="shared" si="17"/>
        <v>1</v>
      </c>
      <c r="E48" s="40">
        <f t="shared" si="18"/>
        <v>45000</v>
      </c>
      <c r="F48" s="40">
        <f t="shared" ref="F48" si="20">D48*E48</f>
        <v>45000</v>
      </c>
      <c r="G48" s="40">
        <f>D48*E48</f>
        <v>45000</v>
      </c>
      <c r="H48" s="40">
        <v>0</v>
      </c>
      <c r="I48" s="40">
        <v>0</v>
      </c>
      <c r="J48" s="40">
        <v>0</v>
      </c>
      <c r="K48" s="40">
        <v>0</v>
      </c>
      <c r="L48" s="40"/>
      <c r="M48" s="40"/>
      <c r="N48" s="40"/>
      <c r="O48" s="40"/>
      <c r="P48" s="40"/>
    </row>
    <row r="49" spans="1:22" x14ac:dyDescent="0.25">
      <c r="A49" s="36"/>
      <c r="B49" s="38" t="s">
        <v>37</v>
      </c>
      <c r="C49" s="37"/>
      <c r="D49" s="40">
        <f t="shared" si="17"/>
        <v>0</v>
      </c>
      <c r="E49" s="40">
        <f t="shared" si="18"/>
        <v>0</v>
      </c>
      <c r="F49" s="39">
        <f t="shared" ref="F49:K49" si="21">SUM(F47:F48)</f>
        <v>945000</v>
      </c>
      <c r="G49" s="39">
        <f t="shared" si="21"/>
        <v>945000</v>
      </c>
      <c r="H49" s="39">
        <f t="shared" si="21"/>
        <v>0</v>
      </c>
      <c r="I49" s="39">
        <f t="shared" si="21"/>
        <v>0</v>
      </c>
      <c r="J49" s="39">
        <f t="shared" si="21"/>
        <v>0</v>
      </c>
      <c r="K49" s="39">
        <f t="shared" si="21"/>
        <v>0</v>
      </c>
      <c r="L49" s="39">
        <f t="shared" ref="L49:U49" si="22">SUM(L47:L48)</f>
        <v>0</v>
      </c>
      <c r="M49" s="39">
        <f t="shared" si="22"/>
        <v>0</v>
      </c>
      <c r="N49" s="39">
        <f t="shared" si="22"/>
        <v>0</v>
      </c>
      <c r="O49" s="39">
        <f t="shared" si="22"/>
        <v>0</v>
      </c>
      <c r="P49" s="39">
        <f t="shared" si="22"/>
        <v>0</v>
      </c>
      <c r="Q49" s="39">
        <f t="shared" si="22"/>
        <v>0</v>
      </c>
      <c r="R49" s="39">
        <f t="shared" si="22"/>
        <v>0</v>
      </c>
      <c r="S49" s="39">
        <f t="shared" si="22"/>
        <v>0</v>
      </c>
      <c r="T49" s="39">
        <f t="shared" si="22"/>
        <v>0</v>
      </c>
      <c r="U49" s="39">
        <f t="shared" si="22"/>
        <v>0</v>
      </c>
    </row>
    <row r="50" spans="1:22" x14ac:dyDescent="0.25">
      <c r="A50" s="36"/>
      <c r="B50" s="37"/>
      <c r="C50" s="37"/>
      <c r="D50" s="40">
        <f t="shared" si="17"/>
        <v>0</v>
      </c>
      <c r="E50" s="40">
        <f t="shared" si="18"/>
        <v>0</v>
      </c>
      <c r="F50" s="40">
        <f t="shared" ref="F50:F51" si="23">D50*E50</f>
        <v>0</v>
      </c>
      <c r="G50" s="40"/>
      <c r="H50" s="40"/>
      <c r="I50" s="40"/>
      <c r="J50" s="40"/>
      <c r="K50" s="40"/>
      <c r="L50" s="40"/>
      <c r="M50" s="40"/>
      <c r="N50" s="40"/>
      <c r="O50" s="40"/>
      <c r="P50" s="40"/>
    </row>
    <row r="51" spans="1:22" x14ac:dyDescent="0.25">
      <c r="A51" s="36"/>
      <c r="B51" s="38" t="s">
        <v>38</v>
      </c>
      <c r="C51" s="37"/>
      <c r="D51" s="40">
        <f t="shared" si="17"/>
        <v>0</v>
      </c>
      <c r="E51" s="40">
        <f t="shared" si="18"/>
        <v>0</v>
      </c>
      <c r="F51" s="40">
        <f t="shared" si="23"/>
        <v>0</v>
      </c>
      <c r="G51" s="40"/>
      <c r="H51" s="40"/>
      <c r="I51" s="40"/>
      <c r="J51" s="40"/>
      <c r="K51" s="40"/>
      <c r="L51" s="40"/>
      <c r="M51" s="40"/>
      <c r="N51" s="40"/>
      <c r="O51" s="40"/>
      <c r="P51" s="40"/>
    </row>
    <row r="52" spans="1:22" x14ac:dyDescent="0.25">
      <c r="A52" s="36"/>
      <c r="B52" s="153" t="s">
        <v>282</v>
      </c>
      <c r="C52" s="37" t="s">
        <v>298</v>
      </c>
      <c r="D52" s="40">
        <f t="shared" si="17"/>
        <v>0</v>
      </c>
      <c r="E52" s="40">
        <f t="shared" si="18"/>
        <v>900000</v>
      </c>
      <c r="F52" s="40">
        <f>E52</f>
        <v>900000</v>
      </c>
      <c r="G52" s="40">
        <f>F52</f>
        <v>900000</v>
      </c>
      <c r="H52" s="40">
        <f>F52</f>
        <v>900000</v>
      </c>
      <c r="I52" s="40">
        <f>H52</f>
        <v>900000</v>
      </c>
      <c r="J52" s="40">
        <f>I52</f>
        <v>900000</v>
      </c>
      <c r="K52" s="40">
        <f t="shared" ref="K52:U57" si="24">J52</f>
        <v>900000</v>
      </c>
      <c r="L52" s="40">
        <f t="shared" si="24"/>
        <v>900000</v>
      </c>
      <c r="M52" s="40">
        <f t="shared" si="24"/>
        <v>900000</v>
      </c>
      <c r="N52" s="40">
        <f t="shared" si="24"/>
        <v>900000</v>
      </c>
      <c r="O52" s="40">
        <f t="shared" si="24"/>
        <v>900000</v>
      </c>
      <c r="P52" s="40">
        <f t="shared" si="24"/>
        <v>900000</v>
      </c>
      <c r="Q52" s="40">
        <f t="shared" si="24"/>
        <v>900000</v>
      </c>
      <c r="R52" s="40">
        <f t="shared" si="24"/>
        <v>900000</v>
      </c>
      <c r="S52" s="40">
        <f t="shared" si="24"/>
        <v>900000</v>
      </c>
      <c r="T52" s="40">
        <f t="shared" si="24"/>
        <v>900000</v>
      </c>
      <c r="U52" s="40">
        <f t="shared" si="24"/>
        <v>900000</v>
      </c>
    </row>
    <row r="53" spans="1:22" x14ac:dyDescent="0.25">
      <c r="A53" s="36"/>
      <c r="B53" s="154" t="s">
        <v>283</v>
      </c>
      <c r="C53" s="37" t="s">
        <v>298</v>
      </c>
      <c r="D53" s="40">
        <f t="shared" si="17"/>
        <v>2000</v>
      </c>
      <c r="E53" s="40">
        <f t="shared" si="18"/>
        <v>810</v>
      </c>
      <c r="F53" s="40">
        <f t="shared" ref="F53:F57" si="25">D53*E53</f>
        <v>1620000</v>
      </c>
      <c r="G53" s="40">
        <f>F53*0.75</f>
        <v>1215000</v>
      </c>
      <c r="H53" s="40">
        <f>D53*E53*1</f>
        <v>1620000</v>
      </c>
      <c r="I53" s="40">
        <f>D53*E53*1</f>
        <v>1620000</v>
      </c>
      <c r="J53" s="40">
        <f>D53*E53</f>
        <v>1620000</v>
      </c>
      <c r="K53" s="40">
        <f t="shared" si="24"/>
        <v>1620000</v>
      </c>
      <c r="L53" s="40">
        <f t="shared" si="24"/>
        <v>1620000</v>
      </c>
      <c r="M53" s="40">
        <f t="shared" si="24"/>
        <v>1620000</v>
      </c>
      <c r="N53" s="40">
        <f t="shared" si="24"/>
        <v>1620000</v>
      </c>
      <c r="O53" s="40">
        <f t="shared" si="24"/>
        <v>1620000</v>
      </c>
      <c r="P53" s="40">
        <f t="shared" si="24"/>
        <v>1620000</v>
      </c>
      <c r="Q53" s="40">
        <f t="shared" si="24"/>
        <v>1620000</v>
      </c>
      <c r="R53" s="40">
        <f t="shared" si="24"/>
        <v>1620000</v>
      </c>
      <c r="S53" s="40">
        <f t="shared" si="24"/>
        <v>1620000</v>
      </c>
      <c r="T53" s="40">
        <f t="shared" si="24"/>
        <v>1620000</v>
      </c>
      <c r="U53" s="40">
        <f t="shared" si="24"/>
        <v>1620000</v>
      </c>
      <c r="V53" s="46"/>
    </row>
    <row r="54" spans="1:22" x14ac:dyDescent="0.25">
      <c r="A54" s="36"/>
      <c r="B54" s="154" t="s">
        <v>284</v>
      </c>
      <c r="C54" s="37" t="s">
        <v>298</v>
      </c>
      <c r="D54" s="40">
        <f t="shared" si="17"/>
        <v>12</v>
      </c>
      <c r="E54" s="40">
        <f t="shared" si="18"/>
        <v>40500</v>
      </c>
      <c r="F54" s="40">
        <f t="shared" si="25"/>
        <v>486000</v>
      </c>
      <c r="G54" s="40">
        <f>F54</f>
        <v>486000</v>
      </c>
      <c r="H54" s="40">
        <f>F54</f>
        <v>486000</v>
      </c>
      <c r="I54" s="40">
        <f t="shared" ref="I54:J54" si="26">H54</f>
        <v>486000</v>
      </c>
      <c r="J54" s="40">
        <f t="shared" si="26"/>
        <v>486000</v>
      </c>
      <c r="K54" s="40">
        <f t="shared" si="24"/>
        <v>486000</v>
      </c>
      <c r="L54" s="40">
        <f t="shared" si="24"/>
        <v>486000</v>
      </c>
      <c r="M54" s="40">
        <f t="shared" si="24"/>
        <v>486000</v>
      </c>
      <c r="N54" s="40">
        <f t="shared" si="24"/>
        <v>486000</v>
      </c>
      <c r="O54" s="40">
        <f t="shared" si="24"/>
        <v>486000</v>
      </c>
      <c r="P54" s="40">
        <f t="shared" si="24"/>
        <v>486000</v>
      </c>
      <c r="Q54" s="40">
        <f t="shared" si="24"/>
        <v>486000</v>
      </c>
      <c r="R54" s="40">
        <f t="shared" si="24"/>
        <v>486000</v>
      </c>
      <c r="S54" s="40">
        <f t="shared" si="24"/>
        <v>486000</v>
      </c>
      <c r="T54" s="40">
        <f t="shared" si="24"/>
        <v>486000</v>
      </c>
      <c r="U54" s="40">
        <f t="shared" si="24"/>
        <v>486000</v>
      </c>
      <c r="V54" s="46"/>
    </row>
    <row r="55" spans="1:22" ht="30" x14ac:dyDescent="0.25">
      <c r="A55" s="36"/>
      <c r="B55" s="154" t="s">
        <v>285</v>
      </c>
      <c r="C55" s="37" t="s">
        <v>298</v>
      </c>
      <c r="D55" s="40">
        <f t="shared" si="17"/>
        <v>12</v>
      </c>
      <c r="E55" s="40">
        <f t="shared" si="18"/>
        <v>49500</v>
      </c>
      <c r="F55" s="40">
        <f t="shared" si="25"/>
        <v>594000</v>
      </c>
      <c r="G55" s="40">
        <f>F55</f>
        <v>594000</v>
      </c>
      <c r="H55" s="40">
        <f>F55</f>
        <v>594000</v>
      </c>
      <c r="I55" s="40">
        <f>F55</f>
        <v>594000</v>
      </c>
      <c r="J55" s="40">
        <f>F55</f>
        <v>594000</v>
      </c>
      <c r="K55" s="40">
        <f>J55</f>
        <v>594000</v>
      </c>
      <c r="L55" s="40">
        <f t="shared" si="24"/>
        <v>594000</v>
      </c>
      <c r="M55" s="40">
        <f t="shared" si="24"/>
        <v>594000</v>
      </c>
      <c r="N55" s="40">
        <f t="shared" si="24"/>
        <v>594000</v>
      </c>
      <c r="O55" s="40">
        <f t="shared" si="24"/>
        <v>594000</v>
      </c>
      <c r="P55" s="40">
        <f t="shared" si="24"/>
        <v>594000</v>
      </c>
      <c r="Q55" s="40">
        <f t="shared" si="24"/>
        <v>594000</v>
      </c>
      <c r="R55" s="40">
        <f t="shared" si="24"/>
        <v>594000</v>
      </c>
      <c r="S55" s="40">
        <f t="shared" si="24"/>
        <v>594000</v>
      </c>
      <c r="T55" s="40">
        <f t="shared" si="24"/>
        <v>594000</v>
      </c>
      <c r="U55" s="40">
        <f t="shared" si="24"/>
        <v>594000</v>
      </c>
    </row>
    <row r="56" spans="1:22" x14ac:dyDescent="0.25">
      <c r="A56" s="36"/>
      <c r="B56" s="154" t="s">
        <v>286</v>
      </c>
      <c r="C56" s="37" t="s">
        <v>298</v>
      </c>
      <c r="D56" s="40">
        <f t="shared" si="17"/>
        <v>100</v>
      </c>
      <c r="E56" s="40">
        <f t="shared" si="18"/>
        <v>900</v>
      </c>
      <c r="F56" s="40">
        <f t="shared" si="25"/>
        <v>90000</v>
      </c>
      <c r="G56" s="40">
        <f>F56</f>
        <v>90000</v>
      </c>
      <c r="H56" s="40">
        <f>D56*E56*1</f>
        <v>90000</v>
      </c>
      <c r="I56" s="40">
        <f>D56*E56*1</f>
        <v>90000</v>
      </c>
      <c r="J56" s="40">
        <f>D56*E56</f>
        <v>90000</v>
      </c>
      <c r="K56" s="40">
        <f>J56</f>
        <v>90000</v>
      </c>
      <c r="L56" s="40">
        <f t="shared" si="24"/>
        <v>90000</v>
      </c>
      <c r="M56" s="40">
        <f t="shared" si="24"/>
        <v>90000</v>
      </c>
      <c r="N56" s="40">
        <f t="shared" si="24"/>
        <v>90000</v>
      </c>
      <c r="O56" s="40">
        <f t="shared" si="24"/>
        <v>90000</v>
      </c>
      <c r="P56" s="40">
        <f t="shared" si="24"/>
        <v>90000</v>
      </c>
      <c r="Q56" s="40">
        <f t="shared" si="24"/>
        <v>90000</v>
      </c>
      <c r="R56" s="40">
        <f t="shared" si="24"/>
        <v>90000</v>
      </c>
      <c r="S56" s="40">
        <f t="shared" si="24"/>
        <v>90000</v>
      </c>
      <c r="T56" s="40">
        <f t="shared" si="24"/>
        <v>90000</v>
      </c>
      <c r="U56" s="40">
        <f t="shared" si="24"/>
        <v>90000</v>
      </c>
    </row>
    <row r="57" spans="1:22" ht="30" x14ac:dyDescent="0.25">
      <c r="A57" s="36"/>
      <c r="B57" s="154" t="s">
        <v>287</v>
      </c>
      <c r="C57" s="37" t="s">
        <v>299</v>
      </c>
      <c r="D57" s="40">
        <f t="shared" si="17"/>
        <v>1</v>
      </c>
      <c r="E57" s="40">
        <f t="shared" si="18"/>
        <v>450000</v>
      </c>
      <c r="F57" s="40">
        <f t="shared" si="25"/>
        <v>450000</v>
      </c>
      <c r="G57" s="40">
        <f>F57</f>
        <v>450000</v>
      </c>
      <c r="H57" s="40">
        <f>D57*E57*1</f>
        <v>450000</v>
      </c>
      <c r="I57" s="40">
        <f>D57*E57*1</f>
        <v>450000</v>
      </c>
      <c r="J57" s="40">
        <f>D57*E57</f>
        <v>450000</v>
      </c>
      <c r="K57" s="40">
        <f>J57</f>
        <v>450000</v>
      </c>
      <c r="L57" s="40">
        <f t="shared" si="24"/>
        <v>450000</v>
      </c>
      <c r="M57" s="40">
        <f t="shared" si="24"/>
        <v>450000</v>
      </c>
      <c r="N57" s="40">
        <f t="shared" si="24"/>
        <v>450000</v>
      </c>
      <c r="O57" s="40">
        <f t="shared" si="24"/>
        <v>450000</v>
      </c>
      <c r="P57" s="40">
        <f t="shared" si="24"/>
        <v>450000</v>
      </c>
      <c r="Q57" s="40">
        <f t="shared" si="24"/>
        <v>450000</v>
      </c>
      <c r="R57" s="40">
        <f t="shared" si="24"/>
        <v>450000</v>
      </c>
      <c r="S57" s="40">
        <f t="shared" si="24"/>
        <v>450000</v>
      </c>
      <c r="T57" s="40">
        <f t="shared" si="24"/>
        <v>450000</v>
      </c>
      <c r="U57" s="40">
        <f t="shared" si="24"/>
        <v>450000</v>
      </c>
    </row>
    <row r="58" spans="1:22" x14ac:dyDescent="0.25">
      <c r="A58" s="36"/>
      <c r="B58" s="38" t="s">
        <v>44</v>
      </c>
      <c r="C58" s="37"/>
      <c r="D58" s="40">
        <f t="shared" si="17"/>
        <v>0</v>
      </c>
      <c r="E58" s="40"/>
      <c r="F58" s="39">
        <f>SUM(F52:F57)</f>
        <v>4140000</v>
      </c>
      <c r="G58" s="39">
        <f t="shared" ref="G58:U58" si="27">SUM(G52:G57)</f>
        <v>3735000</v>
      </c>
      <c r="H58" s="39">
        <f t="shared" si="27"/>
        <v>4140000</v>
      </c>
      <c r="I58" s="39">
        <f t="shared" si="27"/>
        <v>4140000</v>
      </c>
      <c r="J58" s="39">
        <f t="shared" si="27"/>
        <v>4140000</v>
      </c>
      <c r="K58" s="39">
        <f t="shared" si="27"/>
        <v>4140000</v>
      </c>
      <c r="L58" s="39">
        <f t="shared" si="27"/>
        <v>4140000</v>
      </c>
      <c r="M58" s="39">
        <f t="shared" si="27"/>
        <v>4140000</v>
      </c>
      <c r="N58" s="39">
        <f t="shared" si="27"/>
        <v>4140000</v>
      </c>
      <c r="O58" s="39">
        <f t="shared" si="27"/>
        <v>4140000</v>
      </c>
      <c r="P58" s="39">
        <f t="shared" si="27"/>
        <v>4140000</v>
      </c>
      <c r="Q58" s="39">
        <f t="shared" si="27"/>
        <v>4140000</v>
      </c>
      <c r="R58" s="39">
        <f t="shared" si="27"/>
        <v>4140000</v>
      </c>
      <c r="S58" s="39">
        <f t="shared" si="27"/>
        <v>4140000</v>
      </c>
      <c r="T58" s="39">
        <f t="shared" si="27"/>
        <v>4140000</v>
      </c>
      <c r="U58" s="39">
        <f t="shared" si="27"/>
        <v>4140000</v>
      </c>
    </row>
    <row r="59" spans="1:22" x14ac:dyDescent="0.25">
      <c r="A59" s="36"/>
      <c r="B59" s="47"/>
      <c r="C59" s="37"/>
      <c r="D59" s="40">
        <f t="shared" si="17"/>
        <v>0</v>
      </c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</row>
    <row r="60" spans="1:22" x14ac:dyDescent="0.25">
      <c r="A60" s="36"/>
      <c r="B60" s="38" t="s">
        <v>45</v>
      </c>
      <c r="C60" s="37"/>
      <c r="D60" s="40">
        <f t="shared" si="17"/>
        <v>0</v>
      </c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</row>
    <row r="61" spans="1:22" x14ac:dyDescent="0.25">
      <c r="A61" s="36"/>
      <c r="B61" s="37" t="s">
        <v>72</v>
      </c>
      <c r="C61" s="37" t="s">
        <v>298</v>
      </c>
      <c r="D61" s="40">
        <f t="shared" si="17"/>
        <v>1</v>
      </c>
      <c r="E61" s="40">
        <f>E24*0.9</f>
        <v>3750.0000000000005</v>
      </c>
      <c r="F61" s="40">
        <f>D61*E61</f>
        <v>3750.0000000000005</v>
      </c>
      <c r="G61" s="40">
        <v>0</v>
      </c>
      <c r="H61" s="40">
        <f>D61*E61</f>
        <v>3750.0000000000005</v>
      </c>
      <c r="I61" s="40">
        <f t="shared" ref="I61:U61" si="28">H61</f>
        <v>3750.0000000000005</v>
      </c>
      <c r="J61" s="40">
        <f t="shared" si="28"/>
        <v>3750.0000000000005</v>
      </c>
      <c r="K61" s="40">
        <f t="shared" si="28"/>
        <v>3750.0000000000005</v>
      </c>
      <c r="L61" s="40">
        <f t="shared" si="28"/>
        <v>3750.0000000000005</v>
      </c>
      <c r="M61" s="40">
        <f t="shared" si="28"/>
        <v>3750.0000000000005</v>
      </c>
      <c r="N61" s="40">
        <f t="shared" si="28"/>
        <v>3750.0000000000005</v>
      </c>
      <c r="O61" s="40">
        <f t="shared" si="28"/>
        <v>3750.0000000000005</v>
      </c>
      <c r="P61" s="40">
        <f t="shared" si="28"/>
        <v>3750.0000000000005</v>
      </c>
      <c r="Q61" s="40">
        <f t="shared" si="28"/>
        <v>3750.0000000000005</v>
      </c>
      <c r="R61" s="40">
        <f t="shared" si="28"/>
        <v>3750.0000000000005</v>
      </c>
      <c r="S61" s="40">
        <f t="shared" si="28"/>
        <v>3750.0000000000005</v>
      </c>
      <c r="T61" s="40">
        <f t="shared" si="28"/>
        <v>3750.0000000000005</v>
      </c>
      <c r="U61" s="40">
        <f t="shared" si="28"/>
        <v>3750.0000000000005</v>
      </c>
      <c r="V61" s="48">
        <f>SUM(H61:U61)</f>
        <v>52500.000000000007</v>
      </c>
    </row>
    <row r="62" spans="1:22" x14ac:dyDescent="0.25">
      <c r="A62" s="36"/>
      <c r="B62" s="38" t="s">
        <v>48</v>
      </c>
      <c r="C62" s="37"/>
      <c r="D62" s="40"/>
      <c r="E62" s="40"/>
      <c r="F62" s="39">
        <f t="shared" ref="F62:U62" si="29">SUM(F61:F61)</f>
        <v>3750.0000000000005</v>
      </c>
      <c r="G62" s="39">
        <f t="shared" si="29"/>
        <v>0</v>
      </c>
      <c r="H62" s="39">
        <f t="shared" si="29"/>
        <v>3750.0000000000005</v>
      </c>
      <c r="I62" s="39">
        <f t="shared" si="29"/>
        <v>3750.0000000000005</v>
      </c>
      <c r="J62" s="39">
        <f t="shared" si="29"/>
        <v>3750.0000000000005</v>
      </c>
      <c r="K62" s="39">
        <f t="shared" si="29"/>
        <v>3750.0000000000005</v>
      </c>
      <c r="L62" s="39">
        <f t="shared" si="29"/>
        <v>3750.0000000000005</v>
      </c>
      <c r="M62" s="39">
        <f t="shared" si="29"/>
        <v>3750.0000000000005</v>
      </c>
      <c r="N62" s="39">
        <f t="shared" si="29"/>
        <v>3750.0000000000005</v>
      </c>
      <c r="O62" s="39">
        <f t="shared" si="29"/>
        <v>3750.0000000000005</v>
      </c>
      <c r="P62" s="39">
        <f t="shared" si="29"/>
        <v>3750.0000000000005</v>
      </c>
      <c r="Q62" s="39">
        <f t="shared" si="29"/>
        <v>3750.0000000000005</v>
      </c>
      <c r="R62" s="39">
        <f t="shared" si="29"/>
        <v>3750.0000000000005</v>
      </c>
      <c r="S62" s="39">
        <f t="shared" si="29"/>
        <v>3750.0000000000005</v>
      </c>
      <c r="T62" s="39">
        <f t="shared" si="29"/>
        <v>3750.0000000000005</v>
      </c>
      <c r="U62" s="39">
        <f t="shared" si="29"/>
        <v>3750.0000000000005</v>
      </c>
    </row>
    <row r="63" spans="1:22" x14ac:dyDescent="0.25">
      <c r="A63" s="36"/>
      <c r="B63" s="38" t="s">
        <v>49</v>
      </c>
      <c r="C63" s="37"/>
      <c r="D63" s="40"/>
      <c r="E63" s="40"/>
      <c r="F63" s="39">
        <f t="shared" ref="F63:U63" si="30">F49+F58+F62</f>
        <v>5088750</v>
      </c>
      <c r="G63" s="39">
        <f t="shared" si="30"/>
        <v>4680000</v>
      </c>
      <c r="H63" s="39">
        <f t="shared" si="30"/>
        <v>4143750</v>
      </c>
      <c r="I63" s="39">
        <f t="shared" si="30"/>
        <v>4143750</v>
      </c>
      <c r="J63" s="39">
        <f t="shared" si="30"/>
        <v>4143750</v>
      </c>
      <c r="K63" s="39">
        <f t="shared" si="30"/>
        <v>4143750</v>
      </c>
      <c r="L63" s="39">
        <f t="shared" si="30"/>
        <v>4143750</v>
      </c>
      <c r="M63" s="39">
        <f t="shared" si="30"/>
        <v>4143750</v>
      </c>
      <c r="N63" s="39">
        <f t="shared" si="30"/>
        <v>4143750</v>
      </c>
      <c r="O63" s="39">
        <f t="shared" si="30"/>
        <v>4143750</v>
      </c>
      <c r="P63" s="39">
        <f t="shared" si="30"/>
        <v>4143750</v>
      </c>
      <c r="Q63" s="39">
        <f t="shared" si="30"/>
        <v>4143750</v>
      </c>
      <c r="R63" s="39">
        <f t="shared" si="30"/>
        <v>4143750</v>
      </c>
      <c r="S63" s="39">
        <f t="shared" si="30"/>
        <v>4143750</v>
      </c>
      <c r="T63" s="39">
        <f t="shared" si="30"/>
        <v>4143750</v>
      </c>
      <c r="U63" s="39">
        <f t="shared" si="30"/>
        <v>4143750</v>
      </c>
    </row>
    <row r="64" spans="1:22" x14ac:dyDescent="0.25">
      <c r="A64" s="36"/>
      <c r="B64" s="38"/>
      <c r="C64" s="37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</row>
    <row r="65" spans="1:21" x14ac:dyDescent="0.25">
      <c r="A65" s="36"/>
      <c r="B65" s="38" t="s">
        <v>50</v>
      </c>
      <c r="C65" s="37" t="s">
        <v>298</v>
      </c>
      <c r="D65" s="40"/>
      <c r="E65" s="40"/>
      <c r="F65" s="40"/>
      <c r="G65" s="39">
        <f t="shared" ref="G65:U65" si="31">G43-G49-G58</f>
        <v>-1690000</v>
      </c>
      <c r="H65" s="39">
        <f t="shared" si="31"/>
        <v>1840000</v>
      </c>
      <c r="I65" s="39">
        <f t="shared" si="31"/>
        <v>1840000</v>
      </c>
      <c r="J65" s="39">
        <f t="shared" si="31"/>
        <v>1840000</v>
      </c>
      <c r="K65" s="39">
        <f t="shared" si="31"/>
        <v>1840000</v>
      </c>
      <c r="L65" s="39">
        <f t="shared" si="31"/>
        <v>1840000</v>
      </c>
      <c r="M65" s="39">
        <f t="shared" si="31"/>
        <v>1840000</v>
      </c>
      <c r="N65" s="39">
        <f t="shared" si="31"/>
        <v>1840000</v>
      </c>
      <c r="O65" s="39">
        <f t="shared" si="31"/>
        <v>1840000</v>
      </c>
      <c r="P65" s="39">
        <f t="shared" si="31"/>
        <v>1840000</v>
      </c>
      <c r="Q65" s="39">
        <f t="shared" si="31"/>
        <v>1840000</v>
      </c>
      <c r="R65" s="39">
        <f t="shared" si="31"/>
        <v>1840000</v>
      </c>
      <c r="S65" s="39">
        <f t="shared" si="31"/>
        <v>1840000</v>
      </c>
      <c r="T65" s="39">
        <f t="shared" si="31"/>
        <v>1840000</v>
      </c>
      <c r="U65" s="39">
        <f t="shared" si="31"/>
        <v>1840000</v>
      </c>
    </row>
    <row r="66" spans="1:21" x14ac:dyDescent="0.25">
      <c r="A66" s="36"/>
      <c r="B66" s="38" t="s">
        <v>51</v>
      </c>
      <c r="C66" s="37" t="s">
        <v>298</v>
      </c>
      <c r="D66" s="40"/>
      <c r="E66" s="40"/>
      <c r="F66" s="40"/>
      <c r="G66" s="39">
        <f>G65-G62</f>
        <v>-1690000</v>
      </c>
      <c r="H66" s="39">
        <f>-(H65-H62)</f>
        <v>-1836250</v>
      </c>
      <c r="I66" s="39">
        <f>-(I65-I62)</f>
        <v>-1836250</v>
      </c>
      <c r="J66" s="39">
        <f>J65-J62</f>
        <v>1836250</v>
      </c>
      <c r="K66" s="39">
        <f>K65-K62</f>
        <v>1836250</v>
      </c>
      <c r="L66" s="39">
        <f t="shared" ref="L66:U66" si="32">L65-L62</f>
        <v>1836250</v>
      </c>
      <c r="M66" s="39">
        <f t="shared" si="32"/>
        <v>1836250</v>
      </c>
      <c r="N66" s="39">
        <f t="shared" si="32"/>
        <v>1836250</v>
      </c>
      <c r="O66" s="39">
        <f t="shared" si="32"/>
        <v>1836250</v>
      </c>
      <c r="P66" s="39">
        <f t="shared" si="32"/>
        <v>1836250</v>
      </c>
      <c r="Q66" s="39">
        <f t="shared" si="32"/>
        <v>1836250</v>
      </c>
      <c r="R66" s="39">
        <f t="shared" si="32"/>
        <v>1836250</v>
      </c>
      <c r="S66" s="39">
        <f t="shared" si="32"/>
        <v>1836250</v>
      </c>
      <c r="T66" s="39">
        <f t="shared" si="32"/>
        <v>1836250</v>
      </c>
      <c r="U66" s="39">
        <f t="shared" si="32"/>
        <v>1836250</v>
      </c>
    </row>
    <row r="67" spans="1:21" x14ac:dyDescent="0.25">
      <c r="A67" s="1"/>
      <c r="B67" s="140" t="s">
        <v>58</v>
      </c>
      <c r="C67" s="141"/>
      <c r="D67" s="141"/>
      <c r="E67" s="141"/>
      <c r="F67" s="142"/>
      <c r="G67" s="53">
        <f>IRR(G66:U66)</f>
        <v>0.25239453330492667</v>
      </c>
      <c r="H67" s="54"/>
      <c r="I67" s="54"/>
      <c r="J67" s="54"/>
      <c r="K67" s="54"/>
      <c r="L67" s="54"/>
      <c r="M67" s="54"/>
      <c r="N67" s="54"/>
      <c r="O67" s="54"/>
      <c r="P67" s="54"/>
    </row>
    <row r="68" spans="1:21" x14ac:dyDescent="0.25">
      <c r="A68" s="1"/>
      <c r="B68" s="140" t="s">
        <v>59</v>
      </c>
      <c r="C68" s="141"/>
      <c r="D68" s="141"/>
      <c r="E68" s="141"/>
      <c r="F68" s="142"/>
      <c r="G68" s="55">
        <f>NPV(0.1,G66:U66)</f>
        <v>4966654.1020237142</v>
      </c>
      <c r="H68" s="54"/>
      <c r="I68" s="54"/>
      <c r="J68" s="54"/>
      <c r="K68" s="54"/>
      <c r="L68" s="54"/>
      <c r="M68" s="54"/>
      <c r="N68" s="54"/>
      <c r="O68" s="54"/>
      <c r="P68" s="54"/>
    </row>
    <row r="69" spans="1:21" x14ac:dyDescent="0.25">
      <c r="A69" s="1"/>
      <c r="B69" s="148"/>
      <c r="C69" s="148"/>
      <c r="D69" s="148"/>
      <c r="E69" s="148"/>
      <c r="F69" s="148"/>
      <c r="G69" s="56"/>
      <c r="H69" s="57"/>
      <c r="I69" s="57"/>
      <c r="J69" s="57"/>
      <c r="K69" s="57"/>
      <c r="L69" s="57"/>
      <c r="M69" s="57"/>
      <c r="N69" s="57"/>
      <c r="O69" s="57"/>
      <c r="P69" s="57"/>
    </row>
    <row r="70" spans="1:21" x14ac:dyDescent="0.25">
      <c r="A70" s="1"/>
      <c r="B70" s="148"/>
      <c r="C70" s="149"/>
      <c r="D70" s="149"/>
      <c r="E70" s="149"/>
      <c r="F70" s="149"/>
      <c r="G70" s="58"/>
      <c r="H70" s="57"/>
      <c r="I70" s="57"/>
      <c r="J70" s="57"/>
      <c r="K70" s="57"/>
      <c r="L70" s="57"/>
      <c r="M70" s="57"/>
      <c r="N70" s="57"/>
      <c r="O70" s="57"/>
      <c r="P70" s="57"/>
    </row>
    <row r="71" spans="1:21" x14ac:dyDescent="0.25">
      <c r="A71" s="1"/>
      <c r="B71" s="148"/>
      <c r="C71" s="149"/>
      <c r="D71" s="149"/>
      <c r="E71" s="149"/>
      <c r="F71" s="149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</row>
    <row r="72" spans="1:21" x14ac:dyDescent="0.25">
      <c r="A72" s="1"/>
      <c r="B72" s="146"/>
      <c r="C72" s="147"/>
      <c r="D72" s="147"/>
      <c r="E72" s="147"/>
      <c r="F72" s="147"/>
      <c r="G72" s="53"/>
      <c r="H72" s="57"/>
      <c r="I72" s="57"/>
      <c r="J72" s="57"/>
      <c r="K72" s="57"/>
      <c r="L72" s="57"/>
      <c r="M72" s="57"/>
      <c r="N72" s="57"/>
      <c r="O72" s="57"/>
      <c r="P72" s="57"/>
    </row>
    <row r="73" spans="1:21" x14ac:dyDescent="0.25">
      <c r="A73" s="1"/>
      <c r="B73" s="146"/>
      <c r="C73" s="147"/>
      <c r="D73" s="147"/>
      <c r="E73" s="147"/>
      <c r="F73" s="147"/>
      <c r="G73" s="55"/>
      <c r="H73" s="57"/>
      <c r="I73" s="57"/>
      <c r="J73" s="57"/>
      <c r="K73" s="57"/>
      <c r="L73" s="57"/>
      <c r="M73" s="57"/>
      <c r="N73" s="57"/>
      <c r="O73" s="57"/>
      <c r="P73" s="57"/>
    </row>
  </sheetData>
  <mergeCells count="18">
    <mergeCell ref="B33:F33"/>
    <mergeCell ref="B1:P1"/>
    <mergeCell ref="G2:P2"/>
    <mergeCell ref="B30:F30"/>
    <mergeCell ref="B31:F31"/>
    <mergeCell ref="B32:F32"/>
    <mergeCell ref="B73:F73"/>
    <mergeCell ref="B34:F34"/>
    <mergeCell ref="B35:F35"/>
    <mergeCell ref="B36:F36"/>
    <mergeCell ref="B39:P39"/>
    <mergeCell ref="G40:P40"/>
    <mergeCell ref="B67:F67"/>
    <mergeCell ref="B68:F68"/>
    <mergeCell ref="B69:F69"/>
    <mergeCell ref="B70:F70"/>
    <mergeCell ref="B71:F71"/>
    <mergeCell ref="B72:F7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A7780-B02A-4CDA-B54C-568B507A0989}">
  <dimension ref="A1:V77"/>
  <sheetViews>
    <sheetView workbookViewId="0">
      <selection activeCell="G63" sqref="G63"/>
    </sheetView>
  </sheetViews>
  <sheetFormatPr defaultColWidth="15.7109375" defaultRowHeight="15" x14ac:dyDescent="0.25"/>
  <cols>
    <col min="2" max="2" width="26.85546875" customWidth="1"/>
  </cols>
  <sheetData>
    <row r="1" spans="1:21" x14ac:dyDescent="0.25">
      <c r="A1" s="36"/>
      <c r="B1" s="143" t="s">
        <v>18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</row>
    <row r="2" spans="1:21" x14ac:dyDescent="0.25">
      <c r="A2" s="36"/>
      <c r="B2" s="37"/>
      <c r="C2" s="38" t="s">
        <v>19</v>
      </c>
      <c r="D2" s="39" t="s">
        <v>20</v>
      </c>
      <c r="E2" s="39" t="s">
        <v>21</v>
      </c>
      <c r="F2" s="39" t="s">
        <v>22</v>
      </c>
      <c r="G2" s="144" t="s">
        <v>23</v>
      </c>
      <c r="H2" s="145"/>
      <c r="I2" s="145"/>
      <c r="J2" s="145"/>
      <c r="K2" s="145"/>
      <c r="L2" s="145"/>
      <c r="M2" s="145"/>
      <c r="N2" s="145"/>
      <c r="O2" s="145"/>
      <c r="P2" s="145"/>
    </row>
    <row r="3" spans="1:21" x14ac:dyDescent="0.25">
      <c r="A3" s="36"/>
      <c r="B3" s="38" t="s">
        <v>24</v>
      </c>
      <c r="C3" s="37"/>
      <c r="D3" s="40"/>
      <c r="E3" s="40"/>
      <c r="F3" s="40"/>
      <c r="G3" s="40">
        <v>1</v>
      </c>
      <c r="H3" s="40">
        <f t="shared" ref="H3:P3" si="0">G3+1</f>
        <v>2</v>
      </c>
      <c r="I3" s="40">
        <f t="shared" si="0"/>
        <v>3</v>
      </c>
      <c r="J3" s="40">
        <f t="shared" si="0"/>
        <v>4</v>
      </c>
      <c r="K3" s="40">
        <f t="shared" si="0"/>
        <v>5</v>
      </c>
      <c r="L3" s="40">
        <f t="shared" si="0"/>
        <v>6</v>
      </c>
      <c r="M3" s="40">
        <f t="shared" si="0"/>
        <v>7</v>
      </c>
      <c r="N3" s="40">
        <f t="shared" si="0"/>
        <v>8</v>
      </c>
      <c r="O3" s="40">
        <f t="shared" si="0"/>
        <v>9</v>
      </c>
      <c r="P3" s="40">
        <f t="shared" si="0"/>
        <v>10</v>
      </c>
      <c r="Q3">
        <v>11</v>
      </c>
      <c r="R3">
        <v>12</v>
      </c>
      <c r="S3">
        <v>13</v>
      </c>
      <c r="T3">
        <v>14</v>
      </c>
      <c r="U3">
        <v>15</v>
      </c>
    </row>
    <row r="4" spans="1:21" ht="35.25" customHeight="1" x14ac:dyDescent="0.25">
      <c r="A4" s="36"/>
      <c r="B4" s="61" t="s">
        <v>289</v>
      </c>
      <c r="C4" s="37" t="s">
        <v>36</v>
      </c>
      <c r="D4" s="40"/>
      <c r="E4" s="40"/>
      <c r="F4" s="40">
        <v>4400000</v>
      </c>
      <c r="G4" s="40"/>
      <c r="H4" s="40">
        <f>F4</f>
        <v>4400000</v>
      </c>
      <c r="I4" s="40">
        <f>F4</f>
        <v>4400000</v>
      </c>
      <c r="J4" s="40">
        <f>F4</f>
        <v>4400000</v>
      </c>
      <c r="K4" s="40">
        <f t="shared" ref="K4:U5" si="1">J4</f>
        <v>4400000</v>
      </c>
      <c r="L4" s="40">
        <f t="shared" si="1"/>
        <v>4400000</v>
      </c>
      <c r="M4" s="40">
        <f t="shared" si="1"/>
        <v>4400000</v>
      </c>
      <c r="N4" s="40">
        <f t="shared" si="1"/>
        <v>4400000</v>
      </c>
      <c r="O4" s="40">
        <f t="shared" si="1"/>
        <v>4400000</v>
      </c>
      <c r="P4" s="40">
        <f t="shared" si="1"/>
        <v>4400000</v>
      </c>
      <c r="Q4" s="40">
        <f t="shared" si="1"/>
        <v>4400000</v>
      </c>
      <c r="R4" s="40">
        <f t="shared" si="1"/>
        <v>4400000</v>
      </c>
      <c r="S4" s="40">
        <f t="shared" si="1"/>
        <v>4400000</v>
      </c>
      <c r="T4" s="40">
        <f t="shared" si="1"/>
        <v>4400000</v>
      </c>
      <c r="U4" s="40">
        <f t="shared" si="1"/>
        <v>4400000</v>
      </c>
    </row>
    <row r="5" spans="1:21" x14ac:dyDescent="0.25">
      <c r="A5" s="36"/>
      <c r="B5" s="62" t="s">
        <v>290</v>
      </c>
      <c r="C5" s="37" t="s">
        <v>36</v>
      </c>
      <c r="D5" s="40"/>
      <c r="E5" s="40"/>
      <c r="F5" s="40">
        <v>4600000</v>
      </c>
      <c r="G5" s="40"/>
      <c r="H5" s="40">
        <f>F5</f>
        <v>4600000</v>
      </c>
      <c r="I5" s="40">
        <f>H5</f>
        <v>4600000</v>
      </c>
      <c r="J5" s="40">
        <f>H5</f>
        <v>4600000</v>
      </c>
      <c r="K5" s="40">
        <f t="shared" si="1"/>
        <v>4600000</v>
      </c>
      <c r="L5" s="40">
        <f t="shared" si="1"/>
        <v>4600000</v>
      </c>
      <c r="M5" s="40">
        <f t="shared" si="1"/>
        <v>4600000</v>
      </c>
      <c r="N5" s="40">
        <f t="shared" si="1"/>
        <v>4600000</v>
      </c>
      <c r="O5" s="40">
        <f t="shared" si="1"/>
        <v>4600000</v>
      </c>
      <c r="P5" s="40">
        <f t="shared" si="1"/>
        <v>4600000</v>
      </c>
      <c r="Q5" s="40">
        <f t="shared" si="1"/>
        <v>4600000</v>
      </c>
      <c r="R5" s="40">
        <f t="shared" si="1"/>
        <v>4600000</v>
      </c>
      <c r="S5" s="40">
        <f t="shared" si="1"/>
        <v>4600000</v>
      </c>
      <c r="T5" s="40">
        <f t="shared" si="1"/>
        <v>4600000</v>
      </c>
      <c r="U5" s="40">
        <f t="shared" si="1"/>
        <v>4600000</v>
      </c>
    </row>
    <row r="6" spans="1:21" x14ac:dyDescent="0.25">
      <c r="A6" s="36"/>
      <c r="B6" s="38" t="s">
        <v>30</v>
      </c>
      <c r="C6" s="37"/>
      <c r="D6" s="40"/>
      <c r="E6" s="40"/>
      <c r="F6" s="39">
        <f t="shared" ref="F6:U6" si="2">SUM(F4:F5)</f>
        <v>9000000</v>
      </c>
      <c r="G6" s="39">
        <f t="shared" si="2"/>
        <v>0</v>
      </c>
      <c r="H6" s="39">
        <f t="shared" si="2"/>
        <v>9000000</v>
      </c>
      <c r="I6" s="39">
        <f t="shared" si="2"/>
        <v>9000000</v>
      </c>
      <c r="J6" s="39">
        <f t="shared" si="2"/>
        <v>9000000</v>
      </c>
      <c r="K6" s="39">
        <f t="shared" si="2"/>
        <v>9000000</v>
      </c>
      <c r="L6" s="39">
        <f t="shared" si="2"/>
        <v>9000000</v>
      </c>
      <c r="M6" s="39">
        <f t="shared" si="2"/>
        <v>9000000</v>
      </c>
      <c r="N6" s="39">
        <f t="shared" si="2"/>
        <v>9000000</v>
      </c>
      <c r="O6" s="39">
        <f t="shared" si="2"/>
        <v>9000000</v>
      </c>
      <c r="P6" s="39">
        <f t="shared" si="2"/>
        <v>9000000</v>
      </c>
      <c r="Q6" s="39">
        <f t="shared" si="2"/>
        <v>9000000</v>
      </c>
      <c r="R6" s="39">
        <f t="shared" si="2"/>
        <v>9000000</v>
      </c>
      <c r="S6" s="39">
        <f t="shared" si="2"/>
        <v>9000000</v>
      </c>
      <c r="T6" s="39">
        <f t="shared" si="2"/>
        <v>9000000</v>
      </c>
      <c r="U6" s="39">
        <f t="shared" si="2"/>
        <v>9000000</v>
      </c>
    </row>
    <row r="7" spans="1:21" x14ac:dyDescent="0.25">
      <c r="A7" s="36"/>
      <c r="B7" s="37"/>
      <c r="C7" s="37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</row>
    <row r="8" spans="1:21" x14ac:dyDescent="0.25">
      <c r="A8" s="36"/>
      <c r="B8" s="43" t="s">
        <v>31</v>
      </c>
      <c r="C8" s="37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</row>
    <row r="9" spans="1:21" x14ac:dyDescent="0.25">
      <c r="A9" s="36"/>
      <c r="B9" s="38" t="s">
        <v>32</v>
      </c>
      <c r="C9" s="37"/>
      <c r="D9" s="40"/>
      <c r="E9" s="40"/>
      <c r="F9" s="44"/>
      <c r="G9" s="40"/>
      <c r="H9" s="40"/>
      <c r="I9" s="40"/>
      <c r="J9" s="40"/>
      <c r="K9" s="40"/>
      <c r="L9" s="40"/>
      <c r="M9" s="40"/>
      <c r="N9" s="40"/>
      <c r="O9" s="40"/>
      <c r="P9" s="40"/>
    </row>
    <row r="10" spans="1:21" x14ac:dyDescent="0.25">
      <c r="A10" s="36"/>
      <c r="B10" s="63" t="s">
        <v>81</v>
      </c>
      <c r="C10" s="37" t="s">
        <v>36</v>
      </c>
      <c r="D10" s="40">
        <v>1</v>
      </c>
      <c r="E10" s="40">
        <v>1000000</v>
      </c>
      <c r="F10" s="40">
        <f>D10*E10</f>
        <v>1000000</v>
      </c>
      <c r="G10" s="40">
        <f>D10*E10</f>
        <v>1000000</v>
      </c>
      <c r="H10" s="40">
        <v>0</v>
      </c>
      <c r="I10" s="40">
        <v>0</v>
      </c>
      <c r="J10" s="40">
        <v>0</v>
      </c>
      <c r="K10" s="40"/>
      <c r="L10" s="40"/>
      <c r="M10" s="40"/>
      <c r="N10" s="40"/>
      <c r="O10" s="40"/>
      <c r="P10" s="40">
        <f>K10</f>
        <v>0</v>
      </c>
      <c r="U10" s="48"/>
    </row>
    <row r="11" spans="1:21" x14ac:dyDescent="0.25">
      <c r="A11" s="36"/>
      <c r="B11" s="63" t="s">
        <v>89</v>
      </c>
      <c r="C11" s="37" t="s">
        <v>36</v>
      </c>
      <c r="D11" s="40">
        <v>1</v>
      </c>
      <c r="E11" s="40">
        <v>300000</v>
      </c>
      <c r="F11" s="40">
        <f>D11*E11</f>
        <v>300000</v>
      </c>
      <c r="G11" s="40">
        <f>D11*E11</f>
        <v>300000</v>
      </c>
      <c r="H11" s="40">
        <v>0</v>
      </c>
      <c r="I11" s="40">
        <v>0</v>
      </c>
      <c r="J11" s="40">
        <v>0</v>
      </c>
      <c r="K11" s="40">
        <v>0</v>
      </c>
      <c r="L11" s="40"/>
      <c r="M11" s="40"/>
      <c r="N11" s="40"/>
      <c r="O11" s="40"/>
      <c r="P11" s="40"/>
    </row>
    <row r="12" spans="1:21" x14ac:dyDescent="0.25">
      <c r="A12" s="36"/>
      <c r="B12" s="38" t="s">
        <v>37</v>
      </c>
      <c r="C12" s="37"/>
      <c r="D12" s="40"/>
      <c r="E12" s="40"/>
      <c r="F12" s="39">
        <f t="shared" ref="F12:U12" si="3">SUM(F10:F11)</f>
        <v>1300000</v>
      </c>
      <c r="G12" s="39">
        <f t="shared" si="3"/>
        <v>1300000</v>
      </c>
      <c r="H12" s="39">
        <f t="shared" si="3"/>
        <v>0</v>
      </c>
      <c r="I12" s="39">
        <f t="shared" si="3"/>
        <v>0</v>
      </c>
      <c r="J12" s="39">
        <f t="shared" si="3"/>
        <v>0</v>
      </c>
      <c r="K12" s="39">
        <f t="shared" si="3"/>
        <v>0</v>
      </c>
      <c r="L12" s="39">
        <f t="shared" si="3"/>
        <v>0</v>
      </c>
      <c r="M12" s="39">
        <f t="shared" si="3"/>
        <v>0</v>
      </c>
      <c r="N12" s="39">
        <f t="shared" si="3"/>
        <v>0</v>
      </c>
      <c r="O12" s="39">
        <f t="shared" si="3"/>
        <v>0</v>
      </c>
      <c r="P12" s="39">
        <f t="shared" si="3"/>
        <v>0</v>
      </c>
      <c r="Q12" s="39">
        <f t="shared" si="3"/>
        <v>0</v>
      </c>
      <c r="R12" s="39">
        <f t="shared" si="3"/>
        <v>0</v>
      </c>
      <c r="S12" s="39">
        <f t="shared" si="3"/>
        <v>0</v>
      </c>
      <c r="T12" s="39">
        <f t="shared" si="3"/>
        <v>0</v>
      </c>
      <c r="U12" s="39">
        <f t="shared" si="3"/>
        <v>0</v>
      </c>
    </row>
    <row r="13" spans="1:21" x14ac:dyDescent="0.25">
      <c r="A13" s="36"/>
      <c r="B13" s="37"/>
      <c r="C13" s="37"/>
      <c r="D13" s="40"/>
      <c r="E13" s="40"/>
      <c r="F13" s="40">
        <f t="shared" ref="F13:F14" si="4">D13*E13</f>
        <v>0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</row>
    <row r="14" spans="1:21" x14ac:dyDescent="0.25">
      <c r="A14" s="36"/>
      <c r="B14" s="38" t="s">
        <v>38</v>
      </c>
      <c r="C14" s="37"/>
      <c r="D14" s="40"/>
      <c r="E14" s="40"/>
      <c r="F14" s="40">
        <f t="shared" si="4"/>
        <v>0</v>
      </c>
      <c r="G14" s="40"/>
      <c r="H14" s="40"/>
      <c r="I14" s="40"/>
      <c r="J14" s="40"/>
      <c r="K14" s="40"/>
      <c r="L14" s="40"/>
      <c r="M14" s="40"/>
      <c r="N14" s="40"/>
      <c r="O14" s="40"/>
      <c r="P14" s="40"/>
    </row>
    <row r="15" spans="1:21" x14ac:dyDescent="0.25">
      <c r="B15" s="154" t="s">
        <v>283</v>
      </c>
      <c r="C15" s="37" t="s">
        <v>298</v>
      </c>
      <c r="D15" s="40"/>
      <c r="E15" s="40"/>
      <c r="F15" s="40">
        <f>F4*0.8</f>
        <v>3520000</v>
      </c>
      <c r="G15" s="40">
        <f>F15*0.5</f>
        <v>1760000</v>
      </c>
      <c r="H15" s="40">
        <f>F15</f>
        <v>3520000</v>
      </c>
      <c r="I15" s="40">
        <f t="shared" ref="I15:U20" si="5">H15</f>
        <v>3520000</v>
      </c>
      <c r="J15" s="40">
        <f t="shared" si="5"/>
        <v>3520000</v>
      </c>
      <c r="K15" s="40">
        <f t="shared" si="5"/>
        <v>3520000</v>
      </c>
      <c r="L15" s="40">
        <f t="shared" si="5"/>
        <v>3520000</v>
      </c>
      <c r="M15" s="40">
        <f t="shared" si="5"/>
        <v>3520000</v>
      </c>
      <c r="N15" s="40">
        <f t="shared" si="5"/>
        <v>3520000</v>
      </c>
      <c r="O15" s="40">
        <f t="shared" si="5"/>
        <v>3520000</v>
      </c>
      <c r="P15" s="40">
        <f t="shared" si="5"/>
        <v>3520000</v>
      </c>
      <c r="Q15" s="40">
        <f t="shared" si="5"/>
        <v>3520000</v>
      </c>
      <c r="R15" s="40">
        <f t="shared" si="5"/>
        <v>3520000</v>
      </c>
      <c r="S15" s="40">
        <f t="shared" si="5"/>
        <v>3520000</v>
      </c>
      <c r="T15" s="40">
        <f t="shared" si="5"/>
        <v>3520000</v>
      </c>
      <c r="U15" s="40">
        <f t="shared" si="5"/>
        <v>3520000</v>
      </c>
    </row>
    <row r="16" spans="1:21" x14ac:dyDescent="0.25">
      <c r="B16" s="154" t="s">
        <v>293</v>
      </c>
      <c r="C16" s="37" t="s">
        <v>298</v>
      </c>
      <c r="D16" s="40"/>
      <c r="E16" s="40"/>
      <c r="F16" s="40">
        <v>3000000</v>
      </c>
      <c r="G16" s="40"/>
      <c r="H16" s="40">
        <f>F16</f>
        <v>3000000</v>
      </c>
      <c r="I16" s="40">
        <f t="shared" si="5"/>
        <v>3000000</v>
      </c>
      <c r="J16" s="40">
        <f t="shared" si="5"/>
        <v>3000000</v>
      </c>
      <c r="K16" s="40">
        <f t="shared" si="5"/>
        <v>3000000</v>
      </c>
      <c r="L16" s="40">
        <f t="shared" si="5"/>
        <v>3000000</v>
      </c>
      <c r="M16" s="40">
        <f t="shared" si="5"/>
        <v>3000000</v>
      </c>
      <c r="N16" s="40">
        <f t="shared" si="5"/>
        <v>3000000</v>
      </c>
      <c r="O16" s="40">
        <f t="shared" si="5"/>
        <v>3000000</v>
      </c>
      <c r="P16" s="40">
        <f t="shared" si="5"/>
        <v>3000000</v>
      </c>
      <c r="Q16" s="40">
        <f t="shared" si="5"/>
        <v>3000000</v>
      </c>
      <c r="R16" s="40">
        <f t="shared" si="5"/>
        <v>3000000</v>
      </c>
      <c r="S16" s="40">
        <f t="shared" si="5"/>
        <v>3000000</v>
      </c>
      <c r="T16" s="40">
        <f t="shared" si="5"/>
        <v>3000000</v>
      </c>
      <c r="U16" s="40">
        <f t="shared" si="5"/>
        <v>3000000</v>
      </c>
    </row>
    <row r="17" spans="1:22" x14ac:dyDescent="0.25">
      <c r="A17" s="36"/>
      <c r="B17" s="154" t="s">
        <v>294</v>
      </c>
      <c r="C17" s="37" t="s">
        <v>298</v>
      </c>
      <c r="D17" s="40">
        <v>200</v>
      </c>
      <c r="E17" s="40">
        <v>4500</v>
      </c>
      <c r="F17" s="40">
        <f>D17*E17</f>
        <v>900000</v>
      </c>
      <c r="G17" s="40">
        <f>F17*0.75</f>
        <v>675000</v>
      </c>
      <c r="H17" s="40">
        <f>F17</f>
        <v>900000</v>
      </c>
      <c r="I17" s="40">
        <f t="shared" si="5"/>
        <v>900000</v>
      </c>
      <c r="J17" s="40">
        <f t="shared" si="5"/>
        <v>900000</v>
      </c>
      <c r="K17" s="40">
        <f t="shared" si="5"/>
        <v>900000</v>
      </c>
      <c r="L17" s="40">
        <f t="shared" si="5"/>
        <v>900000</v>
      </c>
      <c r="M17" s="40">
        <f t="shared" si="5"/>
        <v>900000</v>
      </c>
      <c r="N17" s="40">
        <f t="shared" si="5"/>
        <v>900000</v>
      </c>
      <c r="O17" s="40">
        <f t="shared" si="5"/>
        <v>900000</v>
      </c>
      <c r="P17" s="40">
        <f t="shared" si="5"/>
        <v>900000</v>
      </c>
      <c r="Q17" s="40">
        <f t="shared" si="5"/>
        <v>900000</v>
      </c>
      <c r="R17" s="40">
        <f t="shared" si="5"/>
        <v>900000</v>
      </c>
      <c r="S17" s="40">
        <f t="shared" si="5"/>
        <v>900000</v>
      </c>
      <c r="T17" s="40">
        <f t="shared" si="5"/>
        <v>900000</v>
      </c>
      <c r="U17" s="40">
        <f t="shared" si="5"/>
        <v>900000</v>
      </c>
    </row>
    <row r="18" spans="1:22" x14ac:dyDescent="0.25">
      <c r="A18" s="36"/>
      <c r="B18" s="154" t="s">
        <v>295</v>
      </c>
      <c r="C18" s="37" t="s">
        <v>298</v>
      </c>
      <c r="D18" s="40"/>
      <c r="E18" s="40"/>
      <c r="F18" s="40">
        <v>100000</v>
      </c>
      <c r="G18" s="40">
        <f>F18</f>
        <v>100000</v>
      </c>
      <c r="H18" s="40">
        <f>G18</f>
        <v>100000</v>
      </c>
      <c r="I18" s="40">
        <f t="shared" si="5"/>
        <v>100000</v>
      </c>
      <c r="J18" s="40">
        <f t="shared" si="5"/>
        <v>100000</v>
      </c>
      <c r="K18" s="40">
        <f t="shared" si="5"/>
        <v>100000</v>
      </c>
      <c r="L18" s="40">
        <f t="shared" si="5"/>
        <v>100000</v>
      </c>
      <c r="M18" s="40">
        <f t="shared" si="5"/>
        <v>100000</v>
      </c>
      <c r="N18" s="40">
        <f t="shared" si="5"/>
        <v>100000</v>
      </c>
      <c r="O18" s="40">
        <f t="shared" si="5"/>
        <v>100000</v>
      </c>
      <c r="P18" s="40">
        <f t="shared" si="5"/>
        <v>100000</v>
      </c>
      <c r="Q18" s="40">
        <f t="shared" si="5"/>
        <v>100000</v>
      </c>
      <c r="R18" s="40">
        <f t="shared" si="5"/>
        <v>100000</v>
      </c>
      <c r="S18" s="40">
        <f t="shared" si="5"/>
        <v>100000</v>
      </c>
      <c r="T18" s="40">
        <f t="shared" si="5"/>
        <v>100000</v>
      </c>
      <c r="U18" s="40">
        <f t="shared" si="5"/>
        <v>100000</v>
      </c>
      <c r="V18" s="46"/>
    </row>
    <row r="19" spans="1:22" x14ac:dyDescent="0.25">
      <c r="A19" s="36"/>
      <c r="C19" s="37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6"/>
    </row>
    <row r="20" spans="1:22" x14ac:dyDescent="0.25">
      <c r="A20" s="36"/>
      <c r="B20" s="45" t="s">
        <v>100</v>
      </c>
      <c r="C20" s="37" t="s">
        <v>298</v>
      </c>
      <c r="D20" s="40"/>
      <c r="E20" s="40"/>
      <c r="F20" s="40">
        <f>F4*0.01</f>
        <v>44000</v>
      </c>
      <c r="G20" s="40">
        <f>F20</f>
        <v>44000</v>
      </c>
      <c r="H20" s="40">
        <f>F20</f>
        <v>44000</v>
      </c>
      <c r="I20" s="40">
        <f t="shared" si="5"/>
        <v>44000</v>
      </c>
      <c r="J20" s="40">
        <f t="shared" si="5"/>
        <v>44000</v>
      </c>
      <c r="K20" s="40">
        <f t="shared" si="5"/>
        <v>44000</v>
      </c>
      <c r="L20" s="40">
        <f t="shared" si="5"/>
        <v>44000</v>
      </c>
      <c r="M20" s="40">
        <f t="shared" si="5"/>
        <v>44000</v>
      </c>
      <c r="N20" s="40">
        <f t="shared" si="5"/>
        <v>44000</v>
      </c>
      <c r="O20" s="40">
        <f t="shared" si="5"/>
        <v>44000</v>
      </c>
      <c r="P20" s="40">
        <f t="shared" si="5"/>
        <v>44000</v>
      </c>
      <c r="Q20" s="40">
        <f t="shared" si="5"/>
        <v>44000</v>
      </c>
      <c r="R20" s="40">
        <f t="shared" si="5"/>
        <v>44000</v>
      </c>
      <c r="S20" s="40">
        <f t="shared" si="5"/>
        <v>44000</v>
      </c>
      <c r="T20" s="40">
        <f t="shared" si="5"/>
        <v>44000</v>
      </c>
      <c r="U20" s="40">
        <f t="shared" si="5"/>
        <v>44000</v>
      </c>
      <c r="V20" s="46"/>
    </row>
    <row r="21" spans="1:22" x14ac:dyDescent="0.25">
      <c r="A21" s="36"/>
      <c r="B21" s="154" t="s">
        <v>296</v>
      </c>
      <c r="C21" s="37" t="s">
        <v>298</v>
      </c>
      <c r="D21" s="40"/>
      <c r="E21" s="40"/>
      <c r="F21" s="40">
        <f>F4*0.01</f>
        <v>44000</v>
      </c>
      <c r="G21" s="40">
        <f t="shared" ref="G21:U21" si="6">F21</f>
        <v>44000</v>
      </c>
      <c r="H21" s="40">
        <f t="shared" si="6"/>
        <v>44000</v>
      </c>
      <c r="I21" s="40">
        <f t="shared" si="6"/>
        <v>44000</v>
      </c>
      <c r="J21" s="40">
        <f t="shared" si="6"/>
        <v>44000</v>
      </c>
      <c r="K21" s="40">
        <f t="shared" si="6"/>
        <v>44000</v>
      </c>
      <c r="L21" s="40">
        <f t="shared" si="6"/>
        <v>44000</v>
      </c>
      <c r="M21" s="40">
        <f t="shared" si="6"/>
        <v>44000</v>
      </c>
      <c r="N21" s="40">
        <f t="shared" si="6"/>
        <v>44000</v>
      </c>
      <c r="O21" s="40">
        <f t="shared" si="6"/>
        <v>44000</v>
      </c>
      <c r="P21" s="40">
        <f t="shared" si="6"/>
        <v>44000</v>
      </c>
      <c r="Q21" s="40">
        <f t="shared" si="6"/>
        <v>44000</v>
      </c>
      <c r="R21" s="40">
        <f t="shared" si="6"/>
        <v>44000</v>
      </c>
      <c r="S21" s="40">
        <f t="shared" si="6"/>
        <v>44000</v>
      </c>
      <c r="T21" s="40">
        <f t="shared" si="6"/>
        <v>44000</v>
      </c>
      <c r="U21" s="40">
        <f t="shared" si="6"/>
        <v>44000</v>
      </c>
      <c r="V21" s="46"/>
    </row>
    <row r="22" spans="1:22" x14ac:dyDescent="0.25">
      <c r="A22" s="36"/>
      <c r="B22" s="45"/>
      <c r="C22" s="37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</row>
    <row r="23" spans="1:22" x14ac:dyDescent="0.25">
      <c r="A23" s="36"/>
      <c r="B23" s="38" t="s">
        <v>44</v>
      </c>
      <c r="C23" s="37"/>
      <c r="D23" s="40"/>
      <c r="E23" s="40"/>
      <c r="F23" s="39">
        <f>SUM(F15:F22)</f>
        <v>7608000</v>
      </c>
      <c r="G23" s="39">
        <f t="shared" ref="G23:U23" si="7">SUM(G15:G22)</f>
        <v>2623000</v>
      </c>
      <c r="H23" s="39">
        <f t="shared" si="7"/>
        <v>7608000</v>
      </c>
      <c r="I23" s="39">
        <f t="shared" si="7"/>
        <v>7608000</v>
      </c>
      <c r="J23" s="39">
        <f t="shared" si="7"/>
        <v>7608000</v>
      </c>
      <c r="K23" s="39">
        <f t="shared" si="7"/>
        <v>7608000</v>
      </c>
      <c r="L23" s="39">
        <f t="shared" si="7"/>
        <v>7608000</v>
      </c>
      <c r="M23" s="39">
        <f t="shared" si="7"/>
        <v>7608000</v>
      </c>
      <c r="N23" s="39">
        <f t="shared" si="7"/>
        <v>7608000</v>
      </c>
      <c r="O23" s="39">
        <f t="shared" si="7"/>
        <v>7608000</v>
      </c>
      <c r="P23" s="39">
        <f t="shared" si="7"/>
        <v>7608000</v>
      </c>
      <c r="Q23" s="39">
        <f t="shared" si="7"/>
        <v>7608000</v>
      </c>
      <c r="R23" s="39">
        <f t="shared" si="7"/>
        <v>7608000</v>
      </c>
      <c r="S23" s="39">
        <f t="shared" si="7"/>
        <v>7608000</v>
      </c>
      <c r="T23" s="39">
        <f t="shared" si="7"/>
        <v>7608000</v>
      </c>
      <c r="U23" s="39">
        <f t="shared" si="7"/>
        <v>7608000</v>
      </c>
    </row>
    <row r="24" spans="1:22" x14ac:dyDescent="0.25">
      <c r="A24" s="36"/>
      <c r="B24" s="47"/>
      <c r="C24" s="37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</row>
    <row r="25" spans="1:22" x14ac:dyDescent="0.25">
      <c r="A25" s="36"/>
      <c r="B25" s="38" t="s">
        <v>45</v>
      </c>
      <c r="C25" s="37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</row>
    <row r="26" spans="1:22" x14ac:dyDescent="0.25">
      <c r="A26" s="36"/>
      <c r="B26" s="37" t="s">
        <v>46</v>
      </c>
      <c r="C26" s="37" t="s">
        <v>300</v>
      </c>
      <c r="D26" s="40">
        <v>1</v>
      </c>
      <c r="E26" s="49">
        <f>E10/15</f>
        <v>66666.666666666672</v>
      </c>
      <c r="F26" s="40">
        <f>D26*E26</f>
        <v>66666.666666666672</v>
      </c>
      <c r="G26" s="40">
        <f>F26</f>
        <v>66666.666666666672</v>
      </c>
      <c r="H26" s="40">
        <f>D26*E26</f>
        <v>66666.666666666672</v>
      </c>
      <c r="I26" s="40">
        <f t="shared" ref="I26:U26" si="8">H26</f>
        <v>66666.666666666672</v>
      </c>
      <c r="J26" s="40">
        <f t="shared" si="8"/>
        <v>66666.666666666672</v>
      </c>
      <c r="K26" s="40">
        <f t="shared" si="8"/>
        <v>66666.666666666672</v>
      </c>
      <c r="L26" s="40">
        <f t="shared" si="8"/>
        <v>66666.666666666672</v>
      </c>
      <c r="M26" s="40">
        <f t="shared" si="8"/>
        <v>66666.666666666672</v>
      </c>
      <c r="N26" s="40">
        <f t="shared" si="8"/>
        <v>66666.666666666672</v>
      </c>
      <c r="O26" s="40">
        <f t="shared" si="8"/>
        <v>66666.666666666672</v>
      </c>
      <c r="P26" s="40">
        <f t="shared" si="8"/>
        <v>66666.666666666672</v>
      </c>
      <c r="Q26" s="40">
        <f t="shared" si="8"/>
        <v>66666.666666666672</v>
      </c>
      <c r="R26" s="40">
        <f t="shared" si="8"/>
        <v>66666.666666666672</v>
      </c>
      <c r="S26" s="40">
        <f t="shared" si="8"/>
        <v>66666.666666666672</v>
      </c>
      <c r="T26" s="40">
        <f t="shared" si="8"/>
        <v>66666.666666666672</v>
      </c>
      <c r="U26" s="40">
        <f t="shared" si="8"/>
        <v>66666.666666666672</v>
      </c>
      <c r="V26" s="48">
        <f>SUM(H26:U26)</f>
        <v>933333.33333333314</v>
      </c>
    </row>
    <row r="27" spans="1:22" x14ac:dyDescent="0.25">
      <c r="A27" s="36"/>
      <c r="B27" s="38" t="s">
        <v>48</v>
      </c>
      <c r="C27" s="37"/>
      <c r="D27" s="40"/>
      <c r="E27" s="40"/>
      <c r="F27" s="39">
        <f t="shared" ref="F27:U27" si="9">SUM(F26:F26)</f>
        <v>66666.666666666672</v>
      </c>
      <c r="G27" s="39">
        <f t="shared" si="9"/>
        <v>66666.666666666672</v>
      </c>
      <c r="H27" s="39">
        <f t="shared" si="9"/>
        <v>66666.666666666672</v>
      </c>
      <c r="I27" s="39">
        <f t="shared" si="9"/>
        <v>66666.666666666672</v>
      </c>
      <c r="J27" s="39">
        <f t="shared" si="9"/>
        <v>66666.666666666672</v>
      </c>
      <c r="K27" s="39">
        <f t="shared" si="9"/>
        <v>66666.666666666672</v>
      </c>
      <c r="L27" s="39">
        <f t="shared" si="9"/>
        <v>66666.666666666672</v>
      </c>
      <c r="M27" s="39">
        <f t="shared" si="9"/>
        <v>66666.666666666672</v>
      </c>
      <c r="N27" s="39">
        <f t="shared" si="9"/>
        <v>66666.666666666672</v>
      </c>
      <c r="O27" s="39">
        <f t="shared" si="9"/>
        <v>66666.666666666672</v>
      </c>
      <c r="P27" s="39">
        <f t="shared" si="9"/>
        <v>66666.666666666672</v>
      </c>
      <c r="Q27" s="39">
        <f t="shared" si="9"/>
        <v>66666.666666666672</v>
      </c>
      <c r="R27" s="39">
        <f t="shared" si="9"/>
        <v>66666.666666666672</v>
      </c>
      <c r="S27" s="39">
        <f t="shared" si="9"/>
        <v>66666.666666666672</v>
      </c>
      <c r="T27" s="39">
        <f t="shared" si="9"/>
        <v>66666.666666666672</v>
      </c>
      <c r="U27" s="39">
        <f t="shared" si="9"/>
        <v>66666.666666666672</v>
      </c>
    </row>
    <row r="28" spans="1:22" x14ac:dyDescent="0.25">
      <c r="A28" s="36"/>
      <c r="B28" s="38" t="s">
        <v>49</v>
      </c>
      <c r="C28" s="37"/>
      <c r="D28" s="40"/>
      <c r="E28" s="40"/>
      <c r="F28" s="39">
        <f t="shared" ref="F28:U28" si="10">F12+F23+F27</f>
        <v>8974666.666666666</v>
      </c>
      <c r="G28" s="39">
        <f t="shared" si="10"/>
        <v>3989666.6666666665</v>
      </c>
      <c r="H28" s="39">
        <f t="shared" si="10"/>
        <v>7674666.666666667</v>
      </c>
      <c r="I28" s="39">
        <f t="shared" si="10"/>
        <v>7674666.666666667</v>
      </c>
      <c r="J28" s="39">
        <f t="shared" si="10"/>
        <v>7674666.666666667</v>
      </c>
      <c r="K28" s="39">
        <f t="shared" si="10"/>
        <v>7674666.666666667</v>
      </c>
      <c r="L28" s="39">
        <f t="shared" si="10"/>
        <v>7674666.666666667</v>
      </c>
      <c r="M28" s="39">
        <f t="shared" si="10"/>
        <v>7674666.666666667</v>
      </c>
      <c r="N28" s="39">
        <f t="shared" si="10"/>
        <v>7674666.666666667</v>
      </c>
      <c r="O28" s="39">
        <f t="shared" si="10"/>
        <v>7674666.666666667</v>
      </c>
      <c r="P28" s="39">
        <f t="shared" si="10"/>
        <v>7674666.666666667</v>
      </c>
      <c r="Q28" s="39">
        <f t="shared" si="10"/>
        <v>7674666.666666667</v>
      </c>
      <c r="R28" s="39">
        <f t="shared" si="10"/>
        <v>7674666.666666667</v>
      </c>
      <c r="S28" s="39">
        <f t="shared" si="10"/>
        <v>7674666.666666667</v>
      </c>
      <c r="T28" s="39">
        <f t="shared" si="10"/>
        <v>7674666.666666667</v>
      </c>
      <c r="U28" s="39">
        <f t="shared" si="10"/>
        <v>7674666.666666667</v>
      </c>
    </row>
    <row r="29" spans="1:22" x14ac:dyDescent="0.25">
      <c r="A29" s="36"/>
      <c r="B29" s="38"/>
      <c r="C29" s="37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</row>
    <row r="30" spans="1:22" x14ac:dyDescent="0.25">
      <c r="A30" s="36"/>
      <c r="B30" s="38" t="s">
        <v>50</v>
      </c>
      <c r="C30" s="37" t="s">
        <v>300</v>
      </c>
      <c r="D30" s="40"/>
      <c r="E30" s="40"/>
      <c r="F30" s="40"/>
      <c r="G30" s="39">
        <f t="shared" ref="G30:U30" si="11">G6-G12-G23</f>
        <v>-3923000</v>
      </c>
      <c r="H30" s="39">
        <f t="shared" si="11"/>
        <v>1392000</v>
      </c>
      <c r="I30" s="39">
        <f t="shared" si="11"/>
        <v>1392000</v>
      </c>
      <c r="J30" s="39">
        <f t="shared" si="11"/>
        <v>1392000</v>
      </c>
      <c r="K30" s="39">
        <f t="shared" si="11"/>
        <v>1392000</v>
      </c>
      <c r="L30" s="39">
        <f t="shared" si="11"/>
        <v>1392000</v>
      </c>
      <c r="M30" s="39">
        <f t="shared" si="11"/>
        <v>1392000</v>
      </c>
      <c r="N30" s="39">
        <f t="shared" si="11"/>
        <v>1392000</v>
      </c>
      <c r="O30" s="39">
        <f t="shared" si="11"/>
        <v>1392000</v>
      </c>
      <c r="P30" s="39">
        <f t="shared" si="11"/>
        <v>1392000</v>
      </c>
      <c r="Q30" s="39">
        <f t="shared" si="11"/>
        <v>1392000</v>
      </c>
      <c r="R30" s="39">
        <f t="shared" si="11"/>
        <v>1392000</v>
      </c>
      <c r="S30" s="39">
        <f t="shared" si="11"/>
        <v>1392000</v>
      </c>
      <c r="T30" s="39">
        <f t="shared" si="11"/>
        <v>1392000</v>
      </c>
      <c r="U30" s="39">
        <f t="shared" si="11"/>
        <v>1392000</v>
      </c>
    </row>
    <row r="31" spans="1:22" x14ac:dyDescent="0.25">
      <c r="A31" s="36"/>
      <c r="B31" s="38" t="s">
        <v>71</v>
      </c>
      <c r="C31" s="37" t="s">
        <v>300</v>
      </c>
      <c r="D31" s="40"/>
      <c r="E31" s="40"/>
      <c r="F31" s="40"/>
      <c r="G31" s="39">
        <f>G30-G27</f>
        <v>-3989666.6666666665</v>
      </c>
      <c r="H31" s="39">
        <f>H30-H27</f>
        <v>1325333.3333333333</v>
      </c>
      <c r="I31" s="39">
        <f>I30-I27</f>
        <v>1325333.3333333333</v>
      </c>
      <c r="J31" s="39">
        <f>J30-J27</f>
        <v>1325333.3333333333</v>
      </c>
      <c r="K31" s="39">
        <f>K30-K27</f>
        <v>1325333.3333333333</v>
      </c>
      <c r="L31" s="39">
        <f t="shared" ref="L31:U31" si="12">L30-L27</f>
        <v>1325333.3333333333</v>
      </c>
      <c r="M31" s="39">
        <f t="shared" si="12"/>
        <v>1325333.3333333333</v>
      </c>
      <c r="N31" s="39">
        <f t="shared" si="12"/>
        <v>1325333.3333333333</v>
      </c>
      <c r="O31" s="39">
        <f t="shared" si="12"/>
        <v>1325333.3333333333</v>
      </c>
      <c r="P31" s="39">
        <f t="shared" si="12"/>
        <v>1325333.3333333333</v>
      </c>
      <c r="Q31" s="39">
        <f t="shared" si="12"/>
        <v>1325333.3333333333</v>
      </c>
      <c r="R31" s="39">
        <f t="shared" si="12"/>
        <v>1325333.3333333333</v>
      </c>
      <c r="S31" s="39">
        <f t="shared" si="12"/>
        <v>1325333.3333333333</v>
      </c>
      <c r="T31" s="39">
        <f t="shared" si="12"/>
        <v>1325333.3333333333</v>
      </c>
      <c r="U31" s="39">
        <f t="shared" si="12"/>
        <v>1325333.3333333333</v>
      </c>
    </row>
    <row r="32" spans="1:22" x14ac:dyDescent="0.25">
      <c r="A32" s="1"/>
      <c r="B32" s="140" t="s">
        <v>52</v>
      </c>
      <c r="C32" s="141"/>
      <c r="D32" s="141"/>
      <c r="E32" s="141"/>
      <c r="F32" s="142"/>
      <c r="G32" s="53">
        <f>IRR(G31:U31)</f>
        <v>0.3257827113586711</v>
      </c>
      <c r="H32" s="54"/>
      <c r="I32" s="54"/>
      <c r="J32" s="54"/>
      <c r="K32" s="54"/>
      <c r="L32" s="54"/>
      <c r="M32" s="54"/>
      <c r="N32" s="54"/>
      <c r="O32" s="54"/>
      <c r="P32" s="54"/>
    </row>
    <row r="33" spans="1:21" x14ac:dyDescent="0.25">
      <c r="A33" s="1"/>
      <c r="B33" s="140" t="s">
        <v>53</v>
      </c>
      <c r="C33" s="141"/>
      <c r="D33" s="141"/>
      <c r="E33" s="141"/>
      <c r="F33" s="142"/>
      <c r="G33" s="55">
        <f>NPV(0.1,G31:U31)</f>
        <v>5248772.5238758307</v>
      </c>
      <c r="H33" s="54"/>
      <c r="I33" s="54"/>
      <c r="J33" s="54"/>
      <c r="K33" s="54"/>
      <c r="L33" s="54"/>
      <c r="M33" s="54"/>
      <c r="N33" s="54"/>
      <c r="O33" s="54"/>
      <c r="P33" s="54"/>
    </row>
    <row r="34" spans="1:21" x14ac:dyDescent="0.25">
      <c r="A34" s="1"/>
      <c r="B34" s="148"/>
      <c r="C34" s="148"/>
      <c r="D34" s="148"/>
      <c r="E34" s="148"/>
      <c r="F34" s="148"/>
      <c r="G34" s="56"/>
      <c r="H34" s="57"/>
      <c r="I34" s="57"/>
      <c r="J34" s="57"/>
      <c r="K34" s="57"/>
      <c r="L34" s="57"/>
      <c r="M34" s="57"/>
      <c r="N34" s="57"/>
      <c r="O34" s="57"/>
      <c r="P34" s="57"/>
    </row>
    <row r="35" spans="1:21" x14ac:dyDescent="0.25">
      <c r="A35" s="1"/>
      <c r="B35" s="148"/>
      <c r="C35" s="149"/>
      <c r="D35" s="149"/>
      <c r="E35" s="149"/>
      <c r="F35" s="149"/>
      <c r="G35" s="58"/>
      <c r="H35" s="57"/>
      <c r="I35" s="57"/>
      <c r="J35" s="57"/>
      <c r="K35" s="57"/>
      <c r="L35" s="57"/>
      <c r="M35" s="57"/>
      <c r="N35" s="57"/>
      <c r="O35" s="57"/>
      <c r="P35" s="57"/>
    </row>
    <row r="36" spans="1:21" x14ac:dyDescent="0.25">
      <c r="A36" s="1"/>
      <c r="B36" s="148"/>
      <c r="C36" s="149"/>
      <c r="D36" s="149"/>
      <c r="E36" s="149"/>
      <c r="F36" s="149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</row>
    <row r="37" spans="1:21" x14ac:dyDescent="0.25">
      <c r="A37" s="1"/>
      <c r="B37" s="146"/>
      <c r="C37" s="147"/>
      <c r="D37" s="147"/>
      <c r="E37" s="147"/>
      <c r="F37" s="147"/>
      <c r="G37" s="53"/>
      <c r="H37" s="57"/>
      <c r="I37" s="57"/>
      <c r="J37" s="57"/>
      <c r="K37" s="57"/>
      <c r="L37" s="57"/>
      <c r="M37" s="57"/>
      <c r="N37" s="57"/>
      <c r="O37" s="57"/>
      <c r="P37" s="57"/>
    </row>
    <row r="38" spans="1:21" x14ac:dyDescent="0.25">
      <c r="A38" s="1"/>
      <c r="B38" s="146"/>
      <c r="C38" s="147"/>
      <c r="D38" s="147"/>
      <c r="E38" s="147"/>
      <c r="F38" s="147"/>
      <c r="G38" s="55"/>
      <c r="H38" s="57"/>
      <c r="I38" s="57"/>
      <c r="J38" s="57"/>
      <c r="K38" s="57"/>
      <c r="L38" s="57"/>
      <c r="M38" s="57"/>
      <c r="N38" s="57"/>
      <c r="O38" s="57"/>
      <c r="P38" s="57"/>
    </row>
    <row r="39" spans="1:21" x14ac:dyDescent="0.25">
      <c r="A39" s="1"/>
      <c r="B39" s="50"/>
      <c r="C39" s="51"/>
      <c r="D39" s="51"/>
      <c r="E39" s="51"/>
      <c r="F39" s="52"/>
      <c r="G39" s="55"/>
      <c r="H39" s="54"/>
      <c r="I39" s="54"/>
      <c r="J39" s="54"/>
      <c r="K39" s="54"/>
      <c r="L39" s="54"/>
      <c r="M39" s="54"/>
      <c r="N39" s="54"/>
      <c r="O39" s="54"/>
      <c r="P39" s="54"/>
    </row>
    <row r="40" spans="1:21" x14ac:dyDescent="0.25">
      <c r="A40" s="36"/>
      <c r="B40" s="36"/>
      <c r="C40" s="36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</row>
    <row r="41" spans="1:21" x14ac:dyDescent="0.25">
      <c r="A41" s="36"/>
      <c r="B41" s="143" t="s">
        <v>54</v>
      </c>
      <c r="C41" s="143"/>
      <c r="D41" s="143"/>
      <c r="E41" s="143"/>
      <c r="F41" s="143"/>
      <c r="G41" s="143"/>
      <c r="H41" s="143"/>
      <c r="I41" s="143"/>
      <c r="J41" s="143"/>
      <c r="K41" s="143"/>
      <c r="L41" s="143"/>
      <c r="M41" s="143"/>
      <c r="N41" s="143"/>
      <c r="O41" s="143"/>
      <c r="P41" s="143"/>
    </row>
    <row r="42" spans="1:21" x14ac:dyDescent="0.25">
      <c r="A42" s="36"/>
      <c r="B42" s="37"/>
      <c r="C42" s="38" t="s">
        <v>19</v>
      </c>
      <c r="D42" s="39" t="s">
        <v>20</v>
      </c>
      <c r="E42" s="39" t="s">
        <v>21</v>
      </c>
      <c r="F42" s="39" t="s">
        <v>22</v>
      </c>
      <c r="G42" s="144" t="s">
        <v>23</v>
      </c>
      <c r="H42" s="145"/>
      <c r="I42" s="145"/>
      <c r="J42" s="145"/>
      <c r="K42" s="145"/>
      <c r="L42" s="145"/>
      <c r="M42" s="145"/>
      <c r="N42" s="145"/>
      <c r="O42" s="145"/>
      <c r="P42" s="145"/>
    </row>
    <row r="43" spans="1:21" x14ac:dyDescent="0.25">
      <c r="A43" s="36"/>
      <c r="B43" s="38" t="s">
        <v>24</v>
      </c>
      <c r="C43" s="37"/>
      <c r="D43" s="40"/>
      <c r="E43" s="40"/>
      <c r="F43" s="40"/>
      <c r="G43" s="40">
        <v>1</v>
      </c>
      <c r="H43" s="40">
        <f t="shared" ref="H43:P43" si="13">G43+1</f>
        <v>2</v>
      </c>
      <c r="I43" s="40">
        <f t="shared" si="13"/>
        <v>3</v>
      </c>
      <c r="J43" s="40">
        <f t="shared" si="13"/>
        <v>4</v>
      </c>
      <c r="K43" s="40">
        <f t="shared" si="13"/>
        <v>5</v>
      </c>
      <c r="L43" s="40">
        <f t="shared" si="13"/>
        <v>6</v>
      </c>
      <c r="M43" s="40">
        <f t="shared" si="13"/>
        <v>7</v>
      </c>
      <c r="N43" s="40">
        <f t="shared" si="13"/>
        <v>8</v>
      </c>
      <c r="O43" s="40">
        <f t="shared" si="13"/>
        <v>9</v>
      </c>
      <c r="P43" s="40">
        <f t="shared" si="13"/>
        <v>10</v>
      </c>
      <c r="Q43">
        <v>11</v>
      </c>
      <c r="R43">
        <v>12</v>
      </c>
      <c r="S43">
        <v>13</v>
      </c>
      <c r="T43">
        <v>14</v>
      </c>
      <c r="U43">
        <v>15</v>
      </c>
    </row>
    <row r="44" spans="1:21" ht="35.25" customHeight="1" x14ac:dyDescent="0.25">
      <c r="A44" s="36"/>
      <c r="B44" s="61" t="s">
        <v>289</v>
      </c>
      <c r="C44" s="37" t="s">
        <v>36</v>
      </c>
      <c r="D44" s="40"/>
      <c r="E44" s="40"/>
      <c r="F44" s="40">
        <f>F4*0.9</f>
        <v>3960000</v>
      </c>
      <c r="G44" s="40">
        <f>F44*0.5</f>
        <v>1980000</v>
      </c>
      <c r="H44" s="40">
        <f>F44</f>
        <v>3960000</v>
      </c>
      <c r="I44" s="40">
        <f>F44</f>
        <v>3960000</v>
      </c>
      <c r="J44" s="40">
        <f>F44</f>
        <v>3960000</v>
      </c>
      <c r="K44" s="40">
        <f t="shared" ref="K44:U45" si="14">J44</f>
        <v>3960000</v>
      </c>
      <c r="L44" s="40">
        <f t="shared" si="14"/>
        <v>3960000</v>
      </c>
      <c r="M44" s="40">
        <f t="shared" si="14"/>
        <v>3960000</v>
      </c>
      <c r="N44" s="40">
        <f t="shared" si="14"/>
        <v>3960000</v>
      </c>
      <c r="O44" s="40">
        <f t="shared" si="14"/>
        <v>3960000</v>
      </c>
      <c r="P44" s="40">
        <f t="shared" si="14"/>
        <v>3960000</v>
      </c>
      <c r="Q44" s="40">
        <f t="shared" si="14"/>
        <v>3960000</v>
      </c>
      <c r="R44" s="40">
        <f t="shared" si="14"/>
        <v>3960000</v>
      </c>
      <c r="S44" s="40">
        <f t="shared" si="14"/>
        <v>3960000</v>
      </c>
      <c r="T44" s="40">
        <f t="shared" si="14"/>
        <v>3960000</v>
      </c>
      <c r="U44" s="40">
        <f t="shared" si="14"/>
        <v>3960000</v>
      </c>
    </row>
    <row r="45" spans="1:21" x14ac:dyDescent="0.25">
      <c r="A45" s="36"/>
      <c r="B45" s="62" t="s">
        <v>290</v>
      </c>
      <c r="C45" s="37" t="s">
        <v>36</v>
      </c>
      <c r="D45" s="40"/>
      <c r="E45" s="40"/>
      <c r="F45" s="40">
        <f>F5*0.9</f>
        <v>4140000</v>
      </c>
      <c r="G45" s="40"/>
      <c r="H45" s="40">
        <f>F45</f>
        <v>4140000</v>
      </c>
      <c r="I45" s="40">
        <f>H45</f>
        <v>4140000</v>
      </c>
      <c r="J45" s="40">
        <f>I45</f>
        <v>4140000</v>
      </c>
      <c r="K45" s="40">
        <f t="shared" si="14"/>
        <v>4140000</v>
      </c>
      <c r="L45" s="40">
        <f t="shared" si="14"/>
        <v>4140000</v>
      </c>
      <c r="M45" s="40">
        <f t="shared" si="14"/>
        <v>4140000</v>
      </c>
      <c r="N45" s="40">
        <f t="shared" si="14"/>
        <v>4140000</v>
      </c>
      <c r="O45" s="40">
        <f t="shared" si="14"/>
        <v>4140000</v>
      </c>
      <c r="P45" s="40">
        <f t="shared" si="14"/>
        <v>4140000</v>
      </c>
      <c r="Q45" s="40">
        <f t="shared" si="14"/>
        <v>4140000</v>
      </c>
      <c r="R45" s="40">
        <f t="shared" si="14"/>
        <v>4140000</v>
      </c>
      <c r="S45" s="40">
        <f t="shared" si="14"/>
        <v>4140000</v>
      </c>
      <c r="T45" s="40">
        <f t="shared" si="14"/>
        <v>4140000</v>
      </c>
      <c r="U45" s="40">
        <f t="shared" si="14"/>
        <v>4140000</v>
      </c>
    </row>
    <row r="46" spans="1:21" x14ac:dyDescent="0.25">
      <c r="A46" s="36"/>
      <c r="B46" s="62"/>
      <c r="C46" s="37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</row>
    <row r="47" spans="1:21" x14ac:dyDescent="0.25">
      <c r="A47" s="36"/>
      <c r="B47" s="38" t="s">
        <v>30</v>
      </c>
      <c r="C47" s="37"/>
      <c r="D47" s="40">
        <f t="shared" ref="D47:D55" si="15">D6</f>
        <v>0</v>
      </c>
      <c r="E47" s="40">
        <f t="shared" ref="E47:E55" si="16">E6*0.9</f>
        <v>0</v>
      </c>
      <c r="F47" s="39">
        <f>SUM(F44:F46)</f>
        <v>8100000</v>
      </c>
      <c r="G47" s="39">
        <f t="shared" ref="G47:U47" si="17">SUM(G44:G46)</f>
        <v>1980000</v>
      </c>
      <c r="H47" s="39">
        <f t="shared" si="17"/>
        <v>8100000</v>
      </c>
      <c r="I47" s="39">
        <f t="shared" si="17"/>
        <v>8100000</v>
      </c>
      <c r="J47" s="39">
        <f t="shared" si="17"/>
        <v>8100000</v>
      </c>
      <c r="K47" s="39">
        <f t="shared" si="17"/>
        <v>8100000</v>
      </c>
      <c r="L47" s="39">
        <f t="shared" si="17"/>
        <v>8100000</v>
      </c>
      <c r="M47" s="39">
        <f t="shared" si="17"/>
        <v>8100000</v>
      </c>
      <c r="N47" s="39">
        <f t="shared" si="17"/>
        <v>8100000</v>
      </c>
      <c r="O47" s="39">
        <f t="shared" si="17"/>
        <v>8100000</v>
      </c>
      <c r="P47" s="39">
        <f t="shared" si="17"/>
        <v>8100000</v>
      </c>
      <c r="Q47" s="39">
        <f t="shared" si="17"/>
        <v>8100000</v>
      </c>
      <c r="R47" s="39">
        <f t="shared" si="17"/>
        <v>8100000</v>
      </c>
      <c r="S47" s="39">
        <f t="shared" si="17"/>
        <v>8100000</v>
      </c>
      <c r="T47" s="39">
        <f t="shared" si="17"/>
        <v>8100000</v>
      </c>
      <c r="U47" s="39">
        <f t="shared" si="17"/>
        <v>8100000</v>
      </c>
    </row>
    <row r="48" spans="1:21" x14ac:dyDescent="0.25">
      <c r="A48" s="36"/>
      <c r="B48" s="37"/>
      <c r="C48" s="37"/>
      <c r="D48" s="40">
        <f t="shared" si="15"/>
        <v>0</v>
      </c>
      <c r="E48" s="40">
        <f t="shared" si="16"/>
        <v>0</v>
      </c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</row>
    <row r="49" spans="1:22" x14ac:dyDescent="0.25">
      <c r="A49" s="36"/>
      <c r="B49" s="43" t="s">
        <v>280</v>
      </c>
      <c r="C49" s="37"/>
      <c r="D49" s="40">
        <f t="shared" si="15"/>
        <v>0</v>
      </c>
      <c r="E49" s="40">
        <f t="shared" si="16"/>
        <v>0</v>
      </c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</row>
    <row r="50" spans="1:22" x14ac:dyDescent="0.25">
      <c r="A50" s="36"/>
      <c r="B50" s="38" t="s">
        <v>32</v>
      </c>
      <c r="C50" s="37"/>
      <c r="D50" s="40">
        <f t="shared" si="15"/>
        <v>0</v>
      </c>
      <c r="E50" s="40">
        <f t="shared" si="16"/>
        <v>0</v>
      </c>
      <c r="F50" s="44"/>
      <c r="G50" s="40"/>
      <c r="H50" s="40"/>
      <c r="I50" s="40"/>
      <c r="J50" s="40"/>
      <c r="K50" s="40"/>
      <c r="L50" s="40"/>
      <c r="M50" s="40"/>
      <c r="N50" s="40"/>
      <c r="O50" s="40"/>
      <c r="P50" s="40"/>
    </row>
    <row r="51" spans="1:22" x14ac:dyDescent="0.25">
      <c r="A51" s="36"/>
      <c r="B51" s="63" t="s">
        <v>81</v>
      </c>
      <c r="C51" s="37" t="s">
        <v>34</v>
      </c>
      <c r="D51" s="40">
        <f t="shared" si="15"/>
        <v>1</v>
      </c>
      <c r="E51" s="40">
        <f t="shared" si="16"/>
        <v>900000</v>
      </c>
      <c r="F51" s="40">
        <f>D51*E51</f>
        <v>900000</v>
      </c>
      <c r="G51" s="40">
        <f>D51*E51</f>
        <v>900000</v>
      </c>
      <c r="H51" s="40">
        <v>0</v>
      </c>
      <c r="I51" s="40">
        <v>0</v>
      </c>
      <c r="J51" s="40">
        <v>0</v>
      </c>
      <c r="K51" s="40"/>
      <c r="L51" s="40"/>
      <c r="M51" s="40"/>
      <c r="N51" s="40"/>
      <c r="O51" s="40"/>
      <c r="P51" s="40">
        <f>K51</f>
        <v>0</v>
      </c>
    </row>
    <row r="52" spans="1:22" x14ac:dyDescent="0.25">
      <c r="A52" s="36"/>
      <c r="B52" s="63" t="s">
        <v>291</v>
      </c>
      <c r="C52" s="37" t="s">
        <v>36</v>
      </c>
      <c r="D52" s="40">
        <f t="shared" si="15"/>
        <v>1</v>
      </c>
      <c r="E52" s="40">
        <f t="shared" si="16"/>
        <v>270000</v>
      </c>
      <c r="F52" s="40">
        <f t="shared" ref="F52" si="18">D52*E52</f>
        <v>270000</v>
      </c>
      <c r="G52" s="40">
        <f>D52*E52</f>
        <v>270000</v>
      </c>
      <c r="H52" s="40">
        <v>0</v>
      </c>
      <c r="I52" s="40">
        <v>0</v>
      </c>
      <c r="J52" s="40">
        <v>0</v>
      </c>
      <c r="K52" s="40">
        <v>0</v>
      </c>
      <c r="L52" s="40"/>
      <c r="M52" s="40"/>
      <c r="N52" s="40"/>
      <c r="O52" s="40"/>
      <c r="P52" s="40"/>
    </row>
    <row r="53" spans="1:22" x14ac:dyDescent="0.25">
      <c r="A53" s="36"/>
      <c r="B53" s="38" t="s">
        <v>37</v>
      </c>
      <c r="C53" s="37"/>
      <c r="D53" s="40">
        <f t="shared" si="15"/>
        <v>0</v>
      </c>
      <c r="E53" s="40">
        <f t="shared" si="16"/>
        <v>0</v>
      </c>
      <c r="F53" s="39">
        <f t="shared" ref="F53:U53" si="19">SUM(F51:F52)</f>
        <v>1170000</v>
      </c>
      <c r="G53" s="39">
        <f t="shared" si="19"/>
        <v>1170000</v>
      </c>
      <c r="H53" s="39">
        <f t="shared" si="19"/>
        <v>0</v>
      </c>
      <c r="I53" s="39">
        <f t="shared" si="19"/>
        <v>0</v>
      </c>
      <c r="J53" s="39">
        <f t="shared" si="19"/>
        <v>0</v>
      </c>
      <c r="K53" s="39">
        <f t="shared" si="19"/>
        <v>0</v>
      </c>
      <c r="L53" s="39">
        <f t="shared" si="19"/>
        <v>0</v>
      </c>
      <c r="M53" s="39">
        <f t="shared" si="19"/>
        <v>0</v>
      </c>
      <c r="N53" s="39">
        <f t="shared" si="19"/>
        <v>0</v>
      </c>
      <c r="O53" s="39">
        <f t="shared" si="19"/>
        <v>0</v>
      </c>
      <c r="P53" s="39">
        <f t="shared" si="19"/>
        <v>0</v>
      </c>
      <c r="Q53" s="39">
        <f t="shared" si="19"/>
        <v>0</v>
      </c>
      <c r="R53" s="39">
        <f t="shared" si="19"/>
        <v>0</v>
      </c>
      <c r="S53" s="39">
        <f t="shared" si="19"/>
        <v>0</v>
      </c>
      <c r="T53" s="39">
        <f t="shared" si="19"/>
        <v>0</v>
      </c>
      <c r="U53" s="39">
        <f t="shared" si="19"/>
        <v>0</v>
      </c>
    </row>
    <row r="54" spans="1:22" x14ac:dyDescent="0.25">
      <c r="A54" s="36"/>
      <c r="B54" s="37"/>
      <c r="C54" s="37"/>
      <c r="D54" s="40">
        <f t="shared" si="15"/>
        <v>0</v>
      </c>
      <c r="E54" s="40">
        <f t="shared" si="16"/>
        <v>0</v>
      </c>
      <c r="F54" s="40">
        <f t="shared" ref="F54:F55" si="20">D54*E54</f>
        <v>0</v>
      </c>
      <c r="G54" s="40"/>
      <c r="H54" s="40"/>
      <c r="I54" s="40"/>
      <c r="J54" s="40"/>
      <c r="K54" s="40"/>
      <c r="L54" s="40"/>
      <c r="M54" s="40"/>
      <c r="N54" s="40"/>
      <c r="O54" s="40"/>
      <c r="P54" s="40"/>
    </row>
    <row r="55" spans="1:22" x14ac:dyDescent="0.25">
      <c r="A55" s="36"/>
      <c r="B55" s="38" t="s">
        <v>292</v>
      </c>
      <c r="C55" s="37"/>
      <c r="D55" s="40">
        <f t="shared" si="15"/>
        <v>0</v>
      </c>
      <c r="E55" s="40">
        <f t="shared" si="16"/>
        <v>0</v>
      </c>
      <c r="F55" s="40">
        <f t="shared" si="20"/>
        <v>0</v>
      </c>
      <c r="G55" s="40"/>
      <c r="H55" s="40"/>
      <c r="I55" s="40"/>
      <c r="J55" s="40"/>
      <c r="K55" s="40"/>
      <c r="L55" s="40"/>
      <c r="M55" s="40"/>
      <c r="N55" s="40"/>
      <c r="O55" s="40"/>
      <c r="P55" s="40"/>
    </row>
    <row r="56" spans="1:22" x14ac:dyDescent="0.25">
      <c r="A56" s="36"/>
      <c r="B56" s="154" t="s">
        <v>283</v>
      </c>
      <c r="C56" s="37" t="s">
        <v>298</v>
      </c>
      <c r="D56" s="40"/>
      <c r="E56" s="40"/>
      <c r="F56" s="40">
        <f>F15</f>
        <v>3520000</v>
      </c>
      <c r="G56" s="40">
        <f>F56*0.5</f>
        <v>1760000</v>
      </c>
      <c r="H56" s="40">
        <f>F56</f>
        <v>3520000</v>
      </c>
      <c r="I56" s="40">
        <f t="shared" ref="I56:U61" si="21">H56</f>
        <v>3520000</v>
      </c>
      <c r="J56" s="40">
        <f t="shared" si="21"/>
        <v>3520000</v>
      </c>
      <c r="K56" s="40">
        <f t="shared" si="21"/>
        <v>3520000</v>
      </c>
      <c r="L56" s="40">
        <f t="shared" si="21"/>
        <v>3520000</v>
      </c>
      <c r="M56" s="40">
        <f t="shared" si="21"/>
        <v>3520000</v>
      </c>
      <c r="N56" s="40">
        <f t="shared" si="21"/>
        <v>3520000</v>
      </c>
      <c r="O56" s="40">
        <f t="shared" si="21"/>
        <v>3520000</v>
      </c>
      <c r="P56" s="40">
        <f t="shared" si="21"/>
        <v>3520000</v>
      </c>
      <c r="Q56" s="40">
        <f t="shared" si="21"/>
        <v>3520000</v>
      </c>
      <c r="R56" s="40">
        <f t="shared" si="21"/>
        <v>3520000</v>
      </c>
      <c r="S56" s="40">
        <f t="shared" si="21"/>
        <v>3520000</v>
      </c>
      <c r="T56" s="40">
        <f t="shared" si="21"/>
        <v>3520000</v>
      </c>
      <c r="U56" s="40">
        <f t="shared" si="21"/>
        <v>3520000</v>
      </c>
    </row>
    <row r="57" spans="1:22" x14ac:dyDescent="0.25">
      <c r="A57" s="36"/>
      <c r="B57" s="154" t="s">
        <v>293</v>
      </c>
      <c r="C57" s="37" t="s">
        <v>298</v>
      </c>
      <c r="D57" s="40"/>
      <c r="E57" s="40"/>
      <c r="F57" s="40">
        <f>F16*0.9</f>
        <v>2700000</v>
      </c>
      <c r="G57" s="40"/>
      <c r="H57" s="40">
        <f>F57</f>
        <v>2700000</v>
      </c>
      <c r="I57" s="40">
        <f t="shared" si="21"/>
        <v>2700000</v>
      </c>
      <c r="J57" s="40">
        <f t="shared" si="21"/>
        <v>2700000</v>
      </c>
      <c r="K57" s="40">
        <f t="shared" si="21"/>
        <v>2700000</v>
      </c>
      <c r="L57" s="40">
        <f t="shared" si="21"/>
        <v>2700000</v>
      </c>
      <c r="M57" s="40">
        <f t="shared" si="21"/>
        <v>2700000</v>
      </c>
      <c r="N57" s="40">
        <f t="shared" si="21"/>
        <v>2700000</v>
      </c>
      <c r="O57" s="40">
        <f t="shared" si="21"/>
        <v>2700000</v>
      </c>
      <c r="P57" s="40">
        <f t="shared" si="21"/>
        <v>2700000</v>
      </c>
      <c r="Q57" s="40">
        <f t="shared" si="21"/>
        <v>2700000</v>
      </c>
      <c r="R57" s="40">
        <f t="shared" si="21"/>
        <v>2700000</v>
      </c>
      <c r="S57" s="40">
        <f t="shared" si="21"/>
        <v>2700000</v>
      </c>
      <c r="T57" s="40">
        <f t="shared" si="21"/>
        <v>2700000</v>
      </c>
      <c r="U57" s="40">
        <f t="shared" si="21"/>
        <v>2700000</v>
      </c>
      <c r="V57" s="46"/>
    </row>
    <row r="58" spans="1:22" x14ac:dyDescent="0.25">
      <c r="A58" s="36"/>
      <c r="B58" s="154" t="s">
        <v>294</v>
      </c>
      <c r="C58" s="37" t="s">
        <v>298</v>
      </c>
      <c r="D58" s="40"/>
      <c r="E58" s="40"/>
      <c r="F58" s="40">
        <f>F17*0.9</f>
        <v>810000</v>
      </c>
      <c r="G58" s="40">
        <f>F58*0.75</f>
        <v>607500</v>
      </c>
      <c r="H58" s="40">
        <f>F58</f>
        <v>810000</v>
      </c>
      <c r="I58" s="40">
        <f t="shared" si="21"/>
        <v>810000</v>
      </c>
      <c r="J58" s="40">
        <f t="shared" si="21"/>
        <v>810000</v>
      </c>
      <c r="K58" s="40">
        <f t="shared" si="21"/>
        <v>810000</v>
      </c>
      <c r="L58" s="40">
        <f t="shared" si="21"/>
        <v>810000</v>
      </c>
      <c r="M58" s="40">
        <f t="shared" si="21"/>
        <v>810000</v>
      </c>
      <c r="N58" s="40">
        <f t="shared" si="21"/>
        <v>810000</v>
      </c>
      <c r="O58" s="40">
        <f t="shared" si="21"/>
        <v>810000</v>
      </c>
      <c r="P58" s="40">
        <f t="shared" si="21"/>
        <v>810000</v>
      </c>
      <c r="Q58" s="40">
        <f t="shared" si="21"/>
        <v>810000</v>
      </c>
      <c r="R58" s="40">
        <f t="shared" si="21"/>
        <v>810000</v>
      </c>
      <c r="S58" s="40">
        <f t="shared" si="21"/>
        <v>810000</v>
      </c>
      <c r="T58" s="40">
        <f t="shared" si="21"/>
        <v>810000</v>
      </c>
      <c r="U58" s="40">
        <f t="shared" si="21"/>
        <v>810000</v>
      </c>
      <c r="V58" s="46"/>
    </row>
    <row r="59" spans="1:22" x14ac:dyDescent="0.25">
      <c r="A59" s="36"/>
      <c r="B59" s="154" t="s">
        <v>295</v>
      </c>
      <c r="C59" s="37" t="s">
        <v>298</v>
      </c>
      <c r="D59" s="40"/>
      <c r="E59" s="40"/>
      <c r="F59" s="40">
        <f>F18*0.9</f>
        <v>90000</v>
      </c>
      <c r="G59" s="40">
        <f>F59</f>
        <v>90000</v>
      </c>
      <c r="H59" s="40">
        <f>F59</f>
        <v>90000</v>
      </c>
      <c r="I59" s="40">
        <f>F59</f>
        <v>90000</v>
      </c>
      <c r="J59" s="40">
        <f>F59</f>
        <v>90000</v>
      </c>
      <c r="K59" s="40">
        <f>J59</f>
        <v>90000</v>
      </c>
      <c r="L59" s="40">
        <f t="shared" si="21"/>
        <v>90000</v>
      </c>
      <c r="M59" s="40">
        <f t="shared" si="21"/>
        <v>90000</v>
      </c>
      <c r="N59" s="40">
        <f t="shared" si="21"/>
        <v>90000</v>
      </c>
      <c r="O59" s="40">
        <f t="shared" si="21"/>
        <v>90000</v>
      </c>
      <c r="P59" s="40">
        <f t="shared" si="21"/>
        <v>90000</v>
      </c>
      <c r="Q59" s="40">
        <f t="shared" si="21"/>
        <v>90000</v>
      </c>
      <c r="R59" s="40">
        <f t="shared" si="21"/>
        <v>90000</v>
      </c>
      <c r="S59" s="40">
        <f t="shared" si="21"/>
        <v>90000</v>
      </c>
      <c r="T59" s="40">
        <f t="shared" si="21"/>
        <v>90000</v>
      </c>
      <c r="U59" s="40">
        <f t="shared" si="21"/>
        <v>90000</v>
      </c>
    </row>
    <row r="60" spans="1:22" x14ac:dyDescent="0.25">
      <c r="A60" s="36"/>
      <c r="B60" s="154" t="s">
        <v>296</v>
      </c>
      <c r="C60" s="37" t="s">
        <v>298</v>
      </c>
      <c r="D60" s="40"/>
      <c r="E60" s="40"/>
      <c r="F60" s="40">
        <f t="shared" ref="F60" si="22">F20*0.9</f>
        <v>39600</v>
      </c>
      <c r="G60" s="40">
        <f>F60</f>
        <v>39600</v>
      </c>
      <c r="H60" s="40">
        <f t="shared" ref="H60:H61" si="23">F60</f>
        <v>39600</v>
      </c>
      <c r="I60" s="40">
        <f t="shared" ref="I60:I61" si="24">F60</f>
        <v>39600</v>
      </c>
      <c r="J60" s="40">
        <f t="shared" ref="J60:J61" si="25">F60</f>
        <v>39600</v>
      </c>
      <c r="K60" s="40">
        <f>J60</f>
        <v>39600</v>
      </c>
      <c r="L60" s="40">
        <f t="shared" si="21"/>
        <v>39600</v>
      </c>
      <c r="M60" s="40">
        <f t="shared" si="21"/>
        <v>39600</v>
      </c>
      <c r="N60" s="40">
        <f t="shared" si="21"/>
        <v>39600</v>
      </c>
      <c r="O60" s="40">
        <f t="shared" si="21"/>
        <v>39600</v>
      </c>
      <c r="P60" s="40">
        <f t="shared" si="21"/>
        <v>39600</v>
      </c>
      <c r="Q60" s="40">
        <f t="shared" si="21"/>
        <v>39600</v>
      </c>
      <c r="R60" s="40">
        <f t="shared" si="21"/>
        <v>39600</v>
      </c>
      <c r="S60" s="40">
        <f t="shared" si="21"/>
        <v>39600</v>
      </c>
      <c r="T60" s="40">
        <f t="shared" si="21"/>
        <v>39600</v>
      </c>
      <c r="U60" s="40">
        <f t="shared" si="21"/>
        <v>39600</v>
      </c>
    </row>
    <row r="61" spans="1:22" x14ac:dyDescent="0.25">
      <c r="A61" s="36"/>
      <c r="B61" s="45" t="s">
        <v>100</v>
      </c>
      <c r="C61" s="37" t="s">
        <v>299</v>
      </c>
      <c r="D61" s="40"/>
      <c r="E61" s="40"/>
      <c r="F61" s="40">
        <f>F21*0.8</f>
        <v>35200</v>
      </c>
      <c r="G61" s="40">
        <f>F61</f>
        <v>35200</v>
      </c>
      <c r="H61" s="40">
        <f t="shared" si="23"/>
        <v>35200</v>
      </c>
      <c r="I61" s="40">
        <f t="shared" si="24"/>
        <v>35200</v>
      </c>
      <c r="J61" s="40">
        <f t="shared" si="25"/>
        <v>35200</v>
      </c>
      <c r="K61" s="40">
        <f>J61</f>
        <v>35200</v>
      </c>
      <c r="L61" s="40">
        <f t="shared" si="21"/>
        <v>35200</v>
      </c>
      <c r="M61" s="40">
        <f t="shared" si="21"/>
        <v>35200</v>
      </c>
      <c r="N61" s="40">
        <f t="shared" si="21"/>
        <v>35200</v>
      </c>
      <c r="O61" s="40">
        <f t="shared" si="21"/>
        <v>35200</v>
      </c>
      <c r="P61" s="40">
        <f t="shared" si="21"/>
        <v>35200</v>
      </c>
      <c r="Q61" s="40">
        <f t="shared" si="21"/>
        <v>35200</v>
      </c>
      <c r="R61" s="40">
        <f t="shared" si="21"/>
        <v>35200</v>
      </c>
      <c r="S61" s="40">
        <f t="shared" si="21"/>
        <v>35200</v>
      </c>
      <c r="T61" s="40">
        <f t="shared" si="21"/>
        <v>35200</v>
      </c>
      <c r="U61" s="40">
        <f t="shared" si="21"/>
        <v>35200</v>
      </c>
    </row>
    <row r="62" spans="1:22" x14ac:dyDescent="0.25">
      <c r="A62" s="36"/>
      <c r="B62" s="38" t="s">
        <v>44</v>
      </c>
      <c r="C62" s="37"/>
      <c r="D62" s="40">
        <f>D23</f>
        <v>0</v>
      </c>
      <c r="E62" s="40"/>
      <c r="F62" s="39">
        <f>SUM(F56:F61)</f>
        <v>7194800</v>
      </c>
      <c r="G62" s="39">
        <f t="shared" ref="G62:U62" si="26">SUM(G56:G61)</f>
        <v>2532300</v>
      </c>
      <c r="H62" s="39">
        <f t="shared" si="26"/>
        <v>7194800</v>
      </c>
      <c r="I62" s="39">
        <f t="shared" si="26"/>
        <v>7194800</v>
      </c>
      <c r="J62" s="39">
        <f t="shared" si="26"/>
        <v>7194800</v>
      </c>
      <c r="K62" s="39">
        <f t="shared" si="26"/>
        <v>7194800</v>
      </c>
      <c r="L62" s="39">
        <f t="shared" si="26"/>
        <v>7194800</v>
      </c>
      <c r="M62" s="39">
        <f t="shared" si="26"/>
        <v>7194800</v>
      </c>
      <c r="N62" s="39">
        <f t="shared" si="26"/>
        <v>7194800</v>
      </c>
      <c r="O62" s="39">
        <f t="shared" si="26"/>
        <v>7194800</v>
      </c>
      <c r="P62" s="39">
        <f t="shared" si="26"/>
        <v>7194800</v>
      </c>
      <c r="Q62" s="39">
        <f t="shared" si="26"/>
        <v>7194800</v>
      </c>
      <c r="R62" s="39">
        <f t="shared" si="26"/>
        <v>7194800</v>
      </c>
      <c r="S62" s="39">
        <f t="shared" si="26"/>
        <v>7194800</v>
      </c>
      <c r="T62" s="39">
        <f t="shared" si="26"/>
        <v>7194800</v>
      </c>
      <c r="U62" s="39">
        <f t="shared" si="26"/>
        <v>7194800</v>
      </c>
    </row>
    <row r="63" spans="1:22" x14ac:dyDescent="0.25">
      <c r="A63" s="36"/>
      <c r="B63" s="47"/>
      <c r="C63" s="37"/>
      <c r="D63" s="40">
        <f>D24</f>
        <v>0</v>
      </c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</row>
    <row r="64" spans="1:22" x14ac:dyDescent="0.25">
      <c r="A64" s="36"/>
      <c r="B64" s="38" t="s">
        <v>45</v>
      </c>
      <c r="C64" s="37"/>
      <c r="D64" s="40">
        <f>D25</f>
        <v>0</v>
      </c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</row>
    <row r="65" spans="1:22" x14ac:dyDescent="0.25">
      <c r="A65" s="36"/>
      <c r="B65" s="37" t="s">
        <v>46</v>
      </c>
      <c r="C65" s="37" t="s">
        <v>300</v>
      </c>
      <c r="D65" s="40">
        <f>D26</f>
        <v>1</v>
      </c>
      <c r="E65" s="40"/>
      <c r="F65" s="40">
        <f>D65*E65</f>
        <v>0</v>
      </c>
      <c r="G65" s="40">
        <v>0</v>
      </c>
      <c r="H65" s="40">
        <f>D65*E65</f>
        <v>0</v>
      </c>
      <c r="I65" s="40">
        <f t="shared" ref="I65:U65" si="27">H65</f>
        <v>0</v>
      </c>
      <c r="J65" s="40">
        <f t="shared" si="27"/>
        <v>0</v>
      </c>
      <c r="K65" s="40">
        <f t="shared" si="27"/>
        <v>0</v>
      </c>
      <c r="L65" s="40">
        <f t="shared" si="27"/>
        <v>0</v>
      </c>
      <c r="M65" s="40">
        <f t="shared" si="27"/>
        <v>0</v>
      </c>
      <c r="N65" s="40">
        <f t="shared" si="27"/>
        <v>0</v>
      </c>
      <c r="O65" s="40">
        <f t="shared" si="27"/>
        <v>0</v>
      </c>
      <c r="P65" s="40">
        <f t="shared" si="27"/>
        <v>0</v>
      </c>
      <c r="Q65" s="40">
        <f t="shared" si="27"/>
        <v>0</v>
      </c>
      <c r="R65" s="40">
        <f t="shared" si="27"/>
        <v>0</v>
      </c>
      <c r="S65" s="40">
        <f t="shared" si="27"/>
        <v>0</v>
      </c>
      <c r="T65" s="40">
        <f t="shared" si="27"/>
        <v>0</v>
      </c>
      <c r="U65" s="40">
        <f t="shared" si="27"/>
        <v>0</v>
      </c>
      <c r="V65" s="48">
        <f>SUM(H65:U65)</f>
        <v>0</v>
      </c>
    </row>
    <row r="66" spans="1:22" x14ac:dyDescent="0.25">
      <c r="A66" s="36"/>
      <c r="B66" s="38" t="s">
        <v>48</v>
      </c>
      <c r="C66" s="37"/>
      <c r="D66" s="40"/>
      <c r="E66" s="40"/>
      <c r="F66" s="39">
        <f t="shared" ref="F66:U66" si="28">SUM(F65:F65)</f>
        <v>0</v>
      </c>
      <c r="G66" s="39">
        <f t="shared" si="28"/>
        <v>0</v>
      </c>
      <c r="H66" s="39">
        <f t="shared" si="28"/>
        <v>0</v>
      </c>
      <c r="I66" s="39">
        <f t="shared" si="28"/>
        <v>0</v>
      </c>
      <c r="J66" s="39">
        <f t="shared" si="28"/>
        <v>0</v>
      </c>
      <c r="K66" s="39">
        <f t="shared" si="28"/>
        <v>0</v>
      </c>
      <c r="L66" s="39">
        <f t="shared" si="28"/>
        <v>0</v>
      </c>
      <c r="M66" s="39">
        <f t="shared" si="28"/>
        <v>0</v>
      </c>
      <c r="N66" s="39">
        <f t="shared" si="28"/>
        <v>0</v>
      </c>
      <c r="O66" s="39">
        <f t="shared" si="28"/>
        <v>0</v>
      </c>
      <c r="P66" s="39">
        <f t="shared" si="28"/>
        <v>0</v>
      </c>
      <c r="Q66" s="39">
        <f t="shared" si="28"/>
        <v>0</v>
      </c>
      <c r="R66" s="39">
        <f t="shared" si="28"/>
        <v>0</v>
      </c>
      <c r="S66" s="39">
        <f t="shared" si="28"/>
        <v>0</v>
      </c>
      <c r="T66" s="39">
        <f t="shared" si="28"/>
        <v>0</v>
      </c>
      <c r="U66" s="39">
        <f t="shared" si="28"/>
        <v>0</v>
      </c>
    </row>
    <row r="67" spans="1:22" x14ac:dyDescent="0.25">
      <c r="A67" s="36"/>
      <c r="B67" s="38" t="s">
        <v>49</v>
      </c>
      <c r="C67" s="37"/>
      <c r="D67" s="40"/>
      <c r="E67" s="40"/>
      <c r="F67" s="39">
        <f t="shared" ref="F67:U67" si="29">F53+F62+F66</f>
        <v>8364800</v>
      </c>
      <c r="G67" s="39">
        <f t="shared" si="29"/>
        <v>3702300</v>
      </c>
      <c r="H67" s="39">
        <f t="shared" si="29"/>
        <v>7194800</v>
      </c>
      <c r="I67" s="39">
        <f t="shared" si="29"/>
        <v>7194800</v>
      </c>
      <c r="J67" s="39">
        <f t="shared" si="29"/>
        <v>7194800</v>
      </c>
      <c r="K67" s="39">
        <f t="shared" si="29"/>
        <v>7194800</v>
      </c>
      <c r="L67" s="39">
        <f t="shared" si="29"/>
        <v>7194800</v>
      </c>
      <c r="M67" s="39">
        <f t="shared" si="29"/>
        <v>7194800</v>
      </c>
      <c r="N67" s="39">
        <f t="shared" si="29"/>
        <v>7194800</v>
      </c>
      <c r="O67" s="39">
        <f t="shared" si="29"/>
        <v>7194800</v>
      </c>
      <c r="P67" s="39">
        <f t="shared" si="29"/>
        <v>7194800</v>
      </c>
      <c r="Q67" s="39">
        <f t="shared" si="29"/>
        <v>7194800</v>
      </c>
      <c r="R67" s="39">
        <f t="shared" si="29"/>
        <v>7194800</v>
      </c>
      <c r="S67" s="39">
        <f t="shared" si="29"/>
        <v>7194800</v>
      </c>
      <c r="T67" s="39">
        <f t="shared" si="29"/>
        <v>7194800</v>
      </c>
      <c r="U67" s="39">
        <f t="shared" si="29"/>
        <v>7194800</v>
      </c>
    </row>
    <row r="68" spans="1:22" x14ac:dyDescent="0.25">
      <c r="A68" s="36"/>
      <c r="B68" s="38"/>
      <c r="C68" s="37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</row>
    <row r="69" spans="1:22" x14ac:dyDescent="0.25">
      <c r="A69" s="36"/>
      <c r="B69" s="38" t="s">
        <v>50</v>
      </c>
      <c r="C69" s="37" t="s">
        <v>300</v>
      </c>
      <c r="D69" s="40"/>
      <c r="E69" s="40"/>
      <c r="F69" s="40"/>
      <c r="G69" s="39">
        <f t="shared" ref="G69:U69" si="30">G47-G53-G62</f>
        <v>-1722300</v>
      </c>
      <c r="H69" s="39">
        <f t="shared" si="30"/>
        <v>905200</v>
      </c>
      <c r="I69" s="39">
        <f t="shared" si="30"/>
        <v>905200</v>
      </c>
      <c r="J69" s="39">
        <f t="shared" si="30"/>
        <v>905200</v>
      </c>
      <c r="K69" s="39">
        <f t="shared" si="30"/>
        <v>905200</v>
      </c>
      <c r="L69" s="39">
        <f t="shared" si="30"/>
        <v>905200</v>
      </c>
      <c r="M69" s="39">
        <f t="shared" si="30"/>
        <v>905200</v>
      </c>
      <c r="N69" s="39">
        <f t="shared" si="30"/>
        <v>905200</v>
      </c>
      <c r="O69" s="39">
        <f t="shared" si="30"/>
        <v>905200</v>
      </c>
      <c r="P69" s="39">
        <f t="shared" si="30"/>
        <v>905200</v>
      </c>
      <c r="Q69" s="39">
        <f t="shared" si="30"/>
        <v>905200</v>
      </c>
      <c r="R69" s="39">
        <f t="shared" si="30"/>
        <v>905200</v>
      </c>
      <c r="S69" s="39">
        <f t="shared" si="30"/>
        <v>905200</v>
      </c>
      <c r="T69" s="39">
        <f t="shared" si="30"/>
        <v>905200</v>
      </c>
      <c r="U69" s="39">
        <f t="shared" si="30"/>
        <v>905200</v>
      </c>
    </row>
    <row r="70" spans="1:22" x14ac:dyDescent="0.25">
      <c r="A70" s="36"/>
      <c r="B70" s="38" t="s">
        <v>51</v>
      </c>
      <c r="C70" s="37" t="s">
        <v>300</v>
      </c>
      <c r="D70" s="40"/>
      <c r="E70" s="40"/>
      <c r="F70" s="40"/>
      <c r="G70" s="39">
        <f>G69-G66</f>
        <v>-1722300</v>
      </c>
      <c r="H70" s="39">
        <f>-(H69-H66)</f>
        <v>-905200</v>
      </c>
      <c r="I70" s="39">
        <f>I69-I66</f>
        <v>905200</v>
      </c>
      <c r="J70" s="39">
        <f>J69-J66</f>
        <v>905200</v>
      </c>
      <c r="K70" s="39">
        <f>K69-K66</f>
        <v>905200</v>
      </c>
      <c r="L70" s="39">
        <f t="shared" ref="L70:U70" si="31">L69-L66</f>
        <v>905200</v>
      </c>
      <c r="M70" s="39">
        <f t="shared" si="31"/>
        <v>905200</v>
      </c>
      <c r="N70" s="39">
        <f t="shared" si="31"/>
        <v>905200</v>
      </c>
      <c r="O70" s="39">
        <f t="shared" si="31"/>
        <v>905200</v>
      </c>
      <c r="P70" s="39">
        <f t="shared" si="31"/>
        <v>905200</v>
      </c>
      <c r="Q70" s="39">
        <f t="shared" si="31"/>
        <v>905200</v>
      </c>
      <c r="R70" s="39">
        <f t="shared" si="31"/>
        <v>905200</v>
      </c>
      <c r="S70" s="39">
        <f t="shared" si="31"/>
        <v>905200</v>
      </c>
      <c r="T70" s="39">
        <f t="shared" si="31"/>
        <v>905200</v>
      </c>
      <c r="U70" s="39">
        <f t="shared" si="31"/>
        <v>905200</v>
      </c>
    </row>
    <row r="71" spans="1:22" x14ac:dyDescent="0.25">
      <c r="A71" s="1"/>
      <c r="B71" s="140" t="s">
        <v>58</v>
      </c>
      <c r="C71" s="141"/>
      <c r="D71" s="141"/>
      <c r="E71" s="141"/>
      <c r="F71" s="142"/>
      <c r="G71" s="53">
        <f>IRR(G70:U70)</f>
        <v>0.27935086746041771</v>
      </c>
      <c r="H71" s="54"/>
      <c r="I71" s="54"/>
      <c r="J71" s="54"/>
      <c r="K71" s="54"/>
      <c r="L71" s="54"/>
      <c r="M71" s="54"/>
      <c r="N71" s="54"/>
      <c r="O71" s="54"/>
      <c r="P71" s="54"/>
    </row>
    <row r="72" spans="1:22" x14ac:dyDescent="0.25">
      <c r="A72" s="1"/>
      <c r="B72" s="140" t="s">
        <v>59</v>
      </c>
      <c r="C72" s="141"/>
      <c r="D72" s="141"/>
      <c r="E72" s="141"/>
      <c r="F72" s="142"/>
      <c r="G72" s="55">
        <f>NPV(0.1,G70:U70)</f>
        <v>3000188.4583665249</v>
      </c>
      <c r="H72" s="54"/>
      <c r="I72" s="54"/>
      <c r="J72" s="54"/>
      <c r="K72" s="54"/>
      <c r="L72" s="54"/>
      <c r="M72" s="54"/>
      <c r="N72" s="54"/>
      <c r="O72" s="54"/>
      <c r="P72" s="54"/>
    </row>
    <row r="73" spans="1:22" x14ac:dyDescent="0.25">
      <c r="A73" s="1"/>
      <c r="B73" s="148"/>
      <c r="C73" s="148"/>
      <c r="D73" s="148"/>
      <c r="E73" s="148"/>
      <c r="F73" s="148"/>
      <c r="G73" s="56"/>
      <c r="H73" s="57"/>
      <c r="I73" s="57"/>
      <c r="J73" s="57"/>
      <c r="K73" s="57"/>
      <c r="L73" s="57"/>
      <c r="M73" s="57"/>
      <c r="N73" s="57"/>
      <c r="O73" s="57"/>
      <c r="P73" s="57"/>
    </row>
    <row r="74" spans="1:22" x14ac:dyDescent="0.25">
      <c r="A74" s="1"/>
      <c r="B74" s="148"/>
      <c r="C74" s="149"/>
      <c r="D74" s="149"/>
      <c r="E74" s="149"/>
      <c r="F74" s="149"/>
      <c r="G74" s="58"/>
      <c r="H74" s="57"/>
      <c r="I74" s="57"/>
      <c r="J74" s="57"/>
      <c r="K74" s="57"/>
      <c r="L74" s="57"/>
      <c r="M74" s="57"/>
      <c r="N74" s="57"/>
      <c r="O74" s="57"/>
      <c r="P74" s="57"/>
    </row>
    <row r="75" spans="1:22" x14ac:dyDescent="0.25">
      <c r="A75" s="1"/>
      <c r="B75" s="148"/>
      <c r="C75" s="149"/>
      <c r="D75" s="149"/>
      <c r="E75" s="149"/>
      <c r="F75" s="149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</row>
    <row r="76" spans="1:22" x14ac:dyDescent="0.25">
      <c r="A76" s="1"/>
      <c r="B76" s="146"/>
      <c r="C76" s="147"/>
      <c r="D76" s="147"/>
      <c r="E76" s="147"/>
      <c r="F76" s="147"/>
      <c r="G76" s="53"/>
      <c r="H76" s="57"/>
      <c r="I76" s="57"/>
      <c r="J76" s="57"/>
      <c r="K76" s="57"/>
      <c r="L76" s="57"/>
      <c r="M76" s="57"/>
      <c r="N76" s="57"/>
      <c r="O76" s="57"/>
      <c r="P76" s="57"/>
    </row>
    <row r="77" spans="1:22" x14ac:dyDescent="0.25">
      <c r="A77" s="1"/>
      <c r="B77" s="146"/>
      <c r="C77" s="147"/>
      <c r="D77" s="147"/>
      <c r="E77" s="147"/>
      <c r="F77" s="147"/>
      <c r="G77" s="55"/>
      <c r="H77" s="57"/>
      <c r="I77" s="57"/>
      <c r="J77" s="57"/>
      <c r="K77" s="57"/>
      <c r="L77" s="57"/>
      <c r="M77" s="57"/>
      <c r="N77" s="57"/>
      <c r="O77" s="57"/>
      <c r="P77" s="57"/>
    </row>
  </sheetData>
  <mergeCells count="18">
    <mergeCell ref="B77:F77"/>
    <mergeCell ref="B36:F36"/>
    <mergeCell ref="B37:F37"/>
    <mergeCell ref="B38:F38"/>
    <mergeCell ref="B41:P41"/>
    <mergeCell ref="G42:P42"/>
    <mergeCell ref="B71:F71"/>
    <mergeCell ref="B72:F72"/>
    <mergeCell ref="B73:F73"/>
    <mergeCell ref="B74:F74"/>
    <mergeCell ref="B75:F75"/>
    <mergeCell ref="B76:F76"/>
    <mergeCell ref="B35:F35"/>
    <mergeCell ref="B1:P1"/>
    <mergeCell ref="G2:P2"/>
    <mergeCell ref="B32:F32"/>
    <mergeCell ref="B33:F33"/>
    <mergeCell ref="B34:F3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F7AA5-D645-4EAD-B190-594051741488}">
  <dimension ref="A1:V86"/>
  <sheetViews>
    <sheetView workbookViewId="0">
      <selection activeCell="C67" sqref="C67"/>
    </sheetView>
  </sheetViews>
  <sheetFormatPr defaultColWidth="15.7109375" defaultRowHeight="15" x14ac:dyDescent="0.25"/>
  <cols>
    <col min="2" max="2" width="26.85546875" customWidth="1"/>
  </cols>
  <sheetData>
    <row r="1" spans="1:21" x14ac:dyDescent="0.25">
      <c r="A1" s="36"/>
      <c r="B1" s="143" t="s">
        <v>18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</row>
    <row r="2" spans="1:21" x14ac:dyDescent="0.25">
      <c r="A2" s="36"/>
      <c r="B2" s="37"/>
      <c r="C2" s="38" t="s">
        <v>19</v>
      </c>
      <c r="D2" s="39" t="s">
        <v>20</v>
      </c>
      <c r="E2" s="39" t="s">
        <v>21</v>
      </c>
      <c r="F2" s="39" t="s">
        <v>22</v>
      </c>
      <c r="G2" s="144" t="s">
        <v>23</v>
      </c>
      <c r="H2" s="145"/>
      <c r="I2" s="145"/>
      <c r="J2" s="145"/>
      <c r="K2" s="145"/>
      <c r="L2" s="145"/>
      <c r="M2" s="145"/>
      <c r="N2" s="145"/>
      <c r="O2" s="145"/>
      <c r="P2" s="145"/>
    </row>
    <row r="3" spans="1:21" x14ac:dyDescent="0.25">
      <c r="A3" s="36"/>
      <c r="B3" s="38" t="s">
        <v>24</v>
      </c>
      <c r="C3" s="37"/>
      <c r="D3" s="150" t="s">
        <v>25</v>
      </c>
      <c r="E3" s="151"/>
      <c r="F3" s="152"/>
      <c r="G3" s="40">
        <v>1</v>
      </c>
      <c r="H3" s="40">
        <f t="shared" ref="H3:P3" si="0">G3+1</f>
        <v>2</v>
      </c>
      <c r="I3" s="40">
        <f t="shared" si="0"/>
        <v>3</v>
      </c>
      <c r="J3" s="40">
        <f t="shared" si="0"/>
        <v>4</v>
      </c>
      <c r="K3" s="40">
        <f t="shared" si="0"/>
        <v>5</v>
      </c>
      <c r="L3" s="40">
        <f t="shared" si="0"/>
        <v>6</v>
      </c>
      <c r="M3" s="40">
        <f t="shared" si="0"/>
        <v>7</v>
      </c>
      <c r="N3" s="40">
        <f t="shared" si="0"/>
        <v>8</v>
      </c>
      <c r="O3" s="40">
        <f t="shared" si="0"/>
        <v>9</v>
      </c>
      <c r="P3" s="40">
        <f t="shared" si="0"/>
        <v>10</v>
      </c>
      <c r="Q3">
        <v>11</v>
      </c>
      <c r="R3">
        <v>12</v>
      </c>
      <c r="S3">
        <v>13</v>
      </c>
      <c r="T3">
        <v>14</v>
      </c>
      <c r="U3">
        <v>15</v>
      </c>
    </row>
    <row r="4" spans="1:21" ht="35.25" customHeight="1" x14ac:dyDescent="0.25">
      <c r="A4" s="36"/>
      <c r="B4" s="41" t="s">
        <v>279</v>
      </c>
      <c r="C4" s="37" t="s">
        <v>302</v>
      </c>
      <c r="D4" s="40">
        <v>1000</v>
      </c>
      <c r="E4" s="40">
        <v>2500</v>
      </c>
      <c r="F4" s="40"/>
      <c r="G4" s="40"/>
      <c r="H4" s="40">
        <f>I4</f>
        <v>2500000</v>
      </c>
      <c r="I4" s="40">
        <f>J4</f>
        <v>2500000</v>
      </c>
      <c r="J4" s="40">
        <f>D4*E4</f>
        <v>2500000</v>
      </c>
      <c r="K4" s="40">
        <f>J4*1.2</f>
        <v>3000000</v>
      </c>
      <c r="L4" s="40">
        <f>K4*1.2</f>
        <v>3600000</v>
      </c>
      <c r="M4" s="40">
        <f t="shared" ref="M4:U4" si="1">L4*1.2</f>
        <v>4320000</v>
      </c>
      <c r="N4" s="40">
        <f t="shared" si="1"/>
        <v>5184000</v>
      </c>
      <c r="O4" s="40">
        <f t="shared" si="1"/>
        <v>6220800</v>
      </c>
      <c r="P4" s="40">
        <f t="shared" si="1"/>
        <v>7464960</v>
      </c>
      <c r="Q4" s="40">
        <f t="shared" si="1"/>
        <v>8957952</v>
      </c>
      <c r="R4" s="40">
        <f t="shared" si="1"/>
        <v>10749542.4</v>
      </c>
      <c r="S4" s="40">
        <f t="shared" si="1"/>
        <v>12899450.880000001</v>
      </c>
      <c r="T4" s="40">
        <f t="shared" si="1"/>
        <v>15479341.056</v>
      </c>
      <c r="U4" s="40">
        <f t="shared" si="1"/>
        <v>18575209.267200001</v>
      </c>
    </row>
    <row r="5" spans="1:21" ht="22.5" customHeight="1" x14ac:dyDescent="0.25">
      <c r="A5" s="36"/>
      <c r="B5" s="41" t="s">
        <v>301</v>
      </c>
      <c r="C5" s="37" t="s">
        <v>303</v>
      </c>
      <c r="D5" s="42">
        <v>520</v>
      </c>
      <c r="E5" s="40">
        <v>100</v>
      </c>
      <c r="F5" s="40">
        <f>D5*E5</f>
        <v>52000</v>
      </c>
      <c r="G5" s="40">
        <f>F5</f>
        <v>52000</v>
      </c>
      <c r="H5" s="40">
        <f t="shared" ref="H5" si="2">F5</f>
        <v>52000</v>
      </c>
      <c r="I5" s="40">
        <f>H5</f>
        <v>52000</v>
      </c>
      <c r="J5" s="40">
        <f>I5</f>
        <v>52000</v>
      </c>
      <c r="K5" s="40">
        <f t="shared" ref="K5:U5" si="3">J5</f>
        <v>52000</v>
      </c>
      <c r="L5" s="40">
        <f t="shared" si="3"/>
        <v>52000</v>
      </c>
      <c r="M5" s="40">
        <f t="shared" si="3"/>
        <v>52000</v>
      </c>
      <c r="N5" s="40">
        <f t="shared" si="3"/>
        <v>52000</v>
      </c>
      <c r="O5" s="40">
        <f t="shared" si="3"/>
        <v>52000</v>
      </c>
      <c r="P5" s="40">
        <f t="shared" si="3"/>
        <v>52000</v>
      </c>
      <c r="Q5" s="40">
        <f t="shared" si="3"/>
        <v>52000</v>
      </c>
      <c r="R5" s="40">
        <f t="shared" si="3"/>
        <v>52000</v>
      </c>
      <c r="S5" s="40">
        <f t="shared" si="3"/>
        <v>52000</v>
      </c>
      <c r="T5" s="40">
        <f t="shared" si="3"/>
        <v>52000</v>
      </c>
      <c r="U5" s="40">
        <f t="shared" si="3"/>
        <v>52000</v>
      </c>
    </row>
    <row r="6" spans="1:21" x14ac:dyDescent="0.25">
      <c r="A6" s="36"/>
      <c r="B6" s="38" t="s">
        <v>30</v>
      </c>
      <c r="C6" s="37"/>
      <c r="D6" s="40"/>
      <c r="E6" s="40"/>
      <c r="F6" s="39">
        <f t="shared" ref="F6:U6" si="4">SUM(F4:F5)</f>
        <v>52000</v>
      </c>
      <c r="G6" s="39">
        <f t="shared" si="4"/>
        <v>52000</v>
      </c>
      <c r="H6" s="39">
        <f t="shared" si="4"/>
        <v>2552000</v>
      </c>
      <c r="I6" s="39">
        <f t="shared" si="4"/>
        <v>2552000</v>
      </c>
      <c r="J6" s="39">
        <f t="shared" si="4"/>
        <v>2552000</v>
      </c>
      <c r="K6" s="39">
        <f t="shared" si="4"/>
        <v>3052000</v>
      </c>
      <c r="L6" s="39">
        <f t="shared" si="4"/>
        <v>3652000</v>
      </c>
      <c r="M6" s="39">
        <f t="shared" si="4"/>
        <v>4372000</v>
      </c>
      <c r="N6" s="39">
        <f t="shared" si="4"/>
        <v>5236000</v>
      </c>
      <c r="O6" s="39">
        <f t="shared" si="4"/>
        <v>6272800</v>
      </c>
      <c r="P6" s="39">
        <f t="shared" si="4"/>
        <v>7516960</v>
      </c>
      <c r="Q6" s="39">
        <f t="shared" si="4"/>
        <v>9009952</v>
      </c>
      <c r="R6" s="39">
        <f t="shared" si="4"/>
        <v>10801542.4</v>
      </c>
      <c r="S6" s="39">
        <f t="shared" si="4"/>
        <v>12951450.880000001</v>
      </c>
      <c r="T6" s="39">
        <f t="shared" si="4"/>
        <v>15531341.056</v>
      </c>
      <c r="U6" s="39">
        <f t="shared" si="4"/>
        <v>18627209.267200001</v>
      </c>
    </row>
    <row r="7" spans="1:21" x14ac:dyDescent="0.25">
      <c r="A7" s="36"/>
      <c r="B7" s="37"/>
      <c r="C7" s="37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</row>
    <row r="8" spans="1:21" x14ac:dyDescent="0.25">
      <c r="A8" s="36"/>
      <c r="B8" s="43" t="s">
        <v>280</v>
      </c>
      <c r="C8" s="37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</row>
    <row r="9" spans="1:21" x14ac:dyDescent="0.25">
      <c r="A9" s="36"/>
      <c r="B9" s="38" t="s">
        <v>32</v>
      </c>
      <c r="C9" s="37"/>
      <c r="D9" s="40"/>
      <c r="E9" s="40"/>
      <c r="F9" s="44"/>
      <c r="G9" s="40"/>
      <c r="H9" s="40"/>
      <c r="I9" s="40"/>
      <c r="J9" s="40"/>
      <c r="K9" s="40"/>
      <c r="L9" s="40"/>
      <c r="M9" s="40"/>
      <c r="N9" s="40"/>
      <c r="O9" s="40"/>
      <c r="P9" s="40"/>
    </row>
    <row r="10" spans="1:21" x14ac:dyDescent="0.25">
      <c r="A10" s="36"/>
      <c r="B10" s="45" t="s">
        <v>304</v>
      </c>
      <c r="C10" s="37" t="s">
        <v>34</v>
      </c>
      <c r="D10" s="40">
        <v>500</v>
      </c>
      <c r="E10" s="40">
        <v>300</v>
      </c>
      <c r="F10" s="40">
        <f>D10*E10</f>
        <v>150000</v>
      </c>
      <c r="G10" s="40">
        <f>F10</f>
        <v>150000</v>
      </c>
      <c r="H10" s="40">
        <f>G10</f>
        <v>150000</v>
      </c>
      <c r="I10" s="40">
        <v>0</v>
      </c>
      <c r="J10" s="40">
        <v>0</v>
      </c>
      <c r="K10" s="40">
        <v>0</v>
      </c>
      <c r="L10" s="40"/>
      <c r="M10" s="40"/>
      <c r="N10" s="40"/>
      <c r="O10" s="40"/>
      <c r="P10" s="40"/>
    </row>
    <row r="11" spans="1:21" x14ac:dyDescent="0.25">
      <c r="A11" s="36"/>
      <c r="B11" s="45" t="s">
        <v>305</v>
      </c>
      <c r="C11" s="37" t="s">
        <v>36</v>
      </c>
      <c r="D11" s="40">
        <v>1</v>
      </c>
      <c r="E11" s="40">
        <v>60000</v>
      </c>
      <c r="F11" s="40">
        <f t="shared" ref="F11:F14" si="5">D11*E11</f>
        <v>60000</v>
      </c>
      <c r="G11" s="40">
        <f t="shared" ref="G11" si="6">F11</f>
        <v>60000</v>
      </c>
      <c r="H11" s="40">
        <f>G11</f>
        <v>60000</v>
      </c>
      <c r="I11" s="40">
        <v>0</v>
      </c>
      <c r="J11" s="40">
        <v>0</v>
      </c>
      <c r="K11" s="40">
        <v>0</v>
      </c>
      <c r="L11" s="40"/>
      <c r="M11" s="40"/>
      <c r="N11" s="40"/>
      <c r="O11" s="40"/>
      <c r="P11" s="40"/>
    </row>
    <row r="12" spans="1:21" x14ac:dyDescent="0.25">
      <c r="A12" s="36"/>
      <c r="B12" s="38" t="s">
        <v>37</v>
      </c>
      <c r="C12" s="37"/>
      <c r="D12" s="40"/>
      <c r="E12" s="40"/>
      <c r="F12" s="39">
        <v>0</v>
      </c>
      <c r="G12" s="40">
        <v>0</v>
      </c>
      <c r="H12" s="39">
        <f t="shared" ref="H12:K12" si="7">SUM(H10:H11)</f>
        <v>210000</v>
      </c>
      <c r="I12" s="39">
        <f t="shared" si="7"/>
        <v>0</v>
      </c>
      <c r="J12" s="39">
        <f t="shared" si="7"/>
        <v>0</v>
      </c>
      <c r="K12" s="39">
        <f t="shared" si="7"/>
        <v>0</v>
      </c>
      <c r="L12" s="39"/>
      <c r="M12" s="39"/>
      <c r="N12" s="39"/>
      <c r="O12" s="39"/>
      <c r="P12" s="39"/>
    </row>
    <row r="13" spans="1:21" x14ac:dyDescent="0.25">
      <c r="A13" s="36"/>
      <c r="B13" s="37"/>
      <c r="C13" s="37"/>
      <c r="D13" s="40"/>
      <c r="E13" s="40"/>
      <c r="F13" s="40">
        <f t="shared" si="5"/>
        <v>0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</row>
    <row r="14" spans="1:21" x14ac:dyDescent="0.25">
      <c r="A14" s="36"/>
      <c r="B14" s="38" t="s">
        <v>292</v>
      </c>
      <c r="C14" s="37"/>
      <c r="D14" s="40"/>
      <c r="E14" s="40"/>
      <c r="F14" s="40">
        <f t="shared" si="5"/>
        <v>0</v>
      </c>
      <c r="G14" s="40"/>
      <c r="H14" s="40"/>
      <c r="I14" s="40"/>
      <c r="J14" s="40"/>
      <c r="K14" s="40"/>
      <c r="L14" s="40"/>
      <c r="M14" s="40"/>
      <c r="N14" s="40"/>
      <c r="O14" s="40"/>
      <c r="P14" s="40"/>
    </row>
    <row r="15" spans="1:21" x14ac:dyDescent="0.25">
      <c r="A15" s="36"/>
      <c r="B15" s="154" t="s">
        <v>283</v>
      </c>
      <c r="C15" s="37" t="s">
        <v>298</v>
      </c>
      <c r="D15" s="40">
        <v>10710</v>
      </c>
      <c r="E15" s="40">
        <v>1</v>
      </c>
      <c r="F15" s="40">
        <f>D15*E15</f>
        <v>10710</v>
      </c>
      <c r="G15" s="40">
        <f>F15</f>
        <v>10710</v>
      </c>
      <c r="H15" s="40">
        <f>F15</f>
        <v>10710</v>
      </c>
      <c r="I15" s="40">
        <f>H15</f>
        <v>10710</v>
      </c>
      <c r="J15" s="40">
        <f t="shared" ref="J15:U19" si="8">I15</f>
        <v>10710</v>
      </c>
      <c r="K15" s="40">
        <f t="shared" si="8"/>
        <v>10710</v>
      </c>
      <c r="L15" s="40">
        <f t="shared" si="8"/>
        <v>10710</v>
      </c>
      <c r="M15" s="40">
        <f t="shared" si="8"/>
        <v>10710</v>
      </c>
      <c r="N15" s="40">
        <f t="shared" si="8"/>
        <v>10710</v>
      </c>
      <c r="O15" s="40">
        <f t="shared" si="8"/>
        <v>10710</v>
      </c>
      <c r="P15" s="40">
        <f t="shared" si="8"/>
        <v>10710</v>
      </c>
      <c r="Q15" s="40">
        <f t="shared" si="8"/>
        <v>10710</v>
      </c>
      <c r="R15" s="40">
        <f t="shared" si="8"/>
        <v>10710</v>
      </c>
      <c r="S15" s="40">
        <f t="shared" si="8"/>
        <v>10710</v>
      </c>
      <c r="T15" s="40">
        <f t="shared" si="8"/>
        <v>10710</v>
      </c>
      <c r="U15" s="40">
        <f>T15*0.5</f>
        <v>5355</v>
      </c>
    </row>
    <row r="16" spans="1:21" ht="30" x14ac:dyDescent="0.25">
      <c r="A16" s="36"/>
      <c r="B16" s="154" t="s">
        <v>306</v>
      </c>
      <c r="C16" s="37" t="s">
        <v>298</v>
      </c>
      <c r="D16" s="40">
        <v>2000</v>
      </c>
      <c r="E16" s="40">
        <v>900</v>
      </c>
      <c r="F16" s="40">
        <f>D16*E16</f>
        <v>1800000</v>
      </c>
      <c r="G16" s="40">
        <f>F16</f>
        <v>1800000</v>
      </c>
      <c r="H16" s="40">
        <f>F16</f>
        <v>1800000</v>
      </c>
      <c r="I16" s="40">
        <f t="shared" ref="I16" si="9">H16</f>
        <v>1800000</v>
      </c>
      <c r="J16" s="40">
        <f t="shared" ref="J16" si="10">H16</f>
        <v>1800000</v>
      </c>
      <c r="K16" s="40">
        <f t="shared" si="8"/>
        <v>1800000</v>
      </c>
      <c r="L16" s="40">
        <f t="shared" ref="L16" si="11">J16</f>
        <v>1800000</v>
      </c>
      <c r="M16" s="40">
        <f t="shared" si="8"/>
        <v>1800000</v>
      </c>
      <c r="N16" s="40">
        <f t="shared" ref="N16" si="12">L16</f>
        <v>1800000</v>
      </c>
      <c r="O16" s="40">
        <f t="shared" si="8"/>
        <v>1800000</v>
      </c>
      <c r="P16" s="40">
        <f t="shared" ref="P16" si="13">N16</f>
        <v>1800000</v>
      </c>
      <c r="Q16" s="40">
        <f t="shared" si="8"/>
        <v>1800000</v>
      </c>
      <c r="R16" s="40">
        <f t="shared" ref="R16" si="14">P16</f>
        <v>1800000</v>
      </c>
      <c r="S16" s="40">
        <f t="shared" si="8"/>
        <v>1800000</v>
      </c>
      <c r="T16" s="40">
        <f t="shared" ref="T16" si="15">R16</f>
        <v>1800000</v>
      </c>
      <c r="U16" s="40">
        <f t="shared" ref="U16" si="16">T16</f>
        <v>1800000</v>
      </c>
    </row>
    <row r="17" spans="1:22" x14ac:dyDescent="0.25">
      <c r="A17" s="36"/>
      <c r="B17" s="154" t="s">
        <v>286</v>
      </c>
      <c r="C17" s="37" t="s">
        <v>298</v>
      </c>
      <c r="D17" s="40"/>
      <c r="E17" s="40"/>
      <c r="F17" s="40">
        <v>1000000</v>
      </c>
      <c r="G17" s="40">
        <f>F17</f>
        <v>1000000</v>
      </c>
      <c r="H17" s="40">
        <f>F17</f>
        <v>1000000</v>
      </c>
      <c r="I17" s="40">
        <f>H17</f>
        <v>1000000</v>
      </c>
      <c r="J17" s="40">
        <f>I17</f>
        <v>1000000</v>
      </c>
      <c r="K17" s="40">
        <f t="shared" si="8"/>
        <v>1000000</v>
      </c>
      <c r="L17" s="40">
        <f t="shared" si="8"/>
        <v>1000000</v>
      </c>
      <c r="M17" s="40">
        <f t="shared" si="8"/>
        <v>1000000</v>
      </c>
      <c r="N17" s="40">
        <f t="shared" si="8"/>
        <v>1000000</v>
      </c>
      <c r="O17" s="40">
        <f t="shared" si="8"/>
        <v>1000000</v>
      </c>
      <c r="P17" s="40">
        <f t="shared" si="8"/>
        <v>1000000</v>
      </c>
      <c r="Q17" s="40">
        <f t="shared" si="8"/>
        <v>1000000</v>
      </c>
      <c r="R17" s="40">
        <f t="shared" si="8"/>
        <v>1000000</v>
      </c>
      <c r="S17" s="40">
        <f t="shared" si="8"/>
        <v>1000000</v>
      </c>
      <c r="T17" s="40">
        <f t="shared" si="8"/>
        <v>1000000</v>
      </c>
      <c r="U17" s="40">
        <f t="shared" si="8"/>
        <v>1000000</v>
      </c>
      <c r="V17" s="46"/>
    </row>
    <row r="18" spans="1:22" ht="30" x14ac:dyDescent="0.25">
      <c r="A18" s="36"/>
      <c r="B18" s="154" t="s">
        <v>307</v>
      </c>
      <c r="C18" s="37" t="s">
        <v>298</v>
      </c>
      <c r="D18" s="40"/>
      <c r="E18" s="40"/>
      <c r="F18" s="40">
        <v>2080000</v>
      </c>
      <c r="G18" s="40">
        <f t="shared" ref="G18" si="17">F18</f>
        <v>2080000</v>
      </c>
      <c r="H18" s="40">
        <f>G18</f>
        <v>2080000</v>
      </c>
      <c r="I18" s="40">
        <f t="shared" ref="I18:P19" si="18">H18</f>
        <v>2080000</v>
      </c>
      <c r="J18" s="40">
        <f t="shared" si="18"/>
        <v>2080000</v>
      </c>
      <c r="K18" s="40">
        <f t="shared" si="18"/>
        <v>2080000</v>
      </c>
      <c r="L18" s="40">
        <f t="shared" si="18"/>
        <v>2080000</v>
      </c>
      <c r="M18" s="40">
        <f t="shared" si="18"/>
        <v>2080000</v>
      </c>
      <c r="N18" s="40">
        <f t="shared" si="18"/>
        <v>2080000</v>
      </c>
      <c r="O18" s="40">
        <f t="shared" si="18"/>
        <v>2080000</v>
      </c>
      <c r="P18" s="40">
        <f t="shared" si="18"/>
        <v>2080000</v>
      </c>
      <c r="Q18" s="40">
        <f t="shared" si="8"/>
        <v>2080000</v>
      </c>
      <c r="R18" s="40">
        <f t="shared" si="8"/>
        <v>2080000</v>
      </c>
      <c r="S18" s="40">
        <f t="shared" si="8"/>
        <v>2080000</v>
      </c>
      <c r="T18" s="40">
        <f t="shared" si="8"/>
        <v>2080000</v>
      </c>
      <c r="U18" s="40">
        <f t="shared" si="8"/>
        <v>2080000</v>
      </c>
      <c r="V18" s="46"/>
    </row>
    <row r="19" spans="1:22" x14ac:dyDescent="0.25">
      <c r="A19" s="36"/>
      <c r="B19" s="154" t="s">
        <v>308</v>
      </c>
      <c r="C19" s="37" t="s">
        <v>298</v>
      </c>
      <c r="D19" s="40"/>
      <c r="E19" s="40"/>
      <c r="F19" s="40">
        <v>550000</v>
      </c>
      <c r="G19" s="40">
        <f>F19</f>
        <v>550000</v>
      </c>
      <c r="H19" s="40">
        <f>F19</f>
        <v>550000</v>
      </c>
      <c r="I19" s="40">
        <f t="shared" si="18"/>
        <v>550000</v>
      </c>
      <c r="J19" s="40">
        <f t="shared" si="18"/>
        <v>550000</v>
      </c>
      <c r="K19" s="40">
        <f t="shared" si="18"/>
        <v>550000</v>
      </c>
      <c r="L19" s="40">
        <f t="shared" si="18"/>
        <v>550000</v>
      </c>
      <c r="M19" s="40">
        <f t="shared" si="18"/>
        <v>550000</v>
      </c>
      <c r="N19" s="40">
        <f t="shared" si="18"/>
        <v>550000</v>
      </c>
      <c r="O19" s="40">
        <f t="shared" si="18"/>
        <v>550000</v>
      </c>
      <c r="P19" s="40">
        <f t="shared" si="18"/>
        <v>550000</v>
      </c>
      <c r="Q19" s="40">
        <f t="shared" si="8"/>
        <v>550000</v>
      </c>
      <c r="R19" s="40">
        <f t="shared" si="8"/>
        <v>550000</v>
      </c>
      <c r="S19" s="40">
        <f t="shared" si="8"/>
        <v>550000</v>
      </c>
      <c r="T19" s="40">
        <f t="shared" si="8"/>
        <v>550000</v>
      </c>
      <c r="U19" s="40">
        <f t="shared" si="8"/>
        <v>550000</v>
      </c>
    </row>
    <row r="20" spans="1:22" x14ac:dyDescent="0.25">
      <c r="A20" s="36"/>
      <c r="B20" s="38" t="s">
        <v>44</v>
      </c>
      <c r="C20" s="37"/>
      <c r="D20" s="40"/>
      <c r="E20" s="40"/>
      <c r="F20" s="39">
        <f t="shared" ref="F20:U20" si="19">SUM(F15:F19)</f>
        <v>5440710</v>
      </c>
      <c r="G20" s="40">
        <f t="shared" si="19"/>
        <v>5440710</v>
      </c>
      <c r="H20" s="39">
        <f t="shared" si="19"/>
        <v>5440710</v>
      </c>
      <c r="I20" s="39">
        <f t="shared" si="19"/>
        <v>5440710</v>
      </c>
      <c r="J20" s="39">
        <f t="shared" si="19"/>
        <v>5440710</v>
      </c>
      <c r="K20" s="39">
        <f t="shared" si="19"/>
        <v>5440710</v>
      </c>
      <c r="L20" s="39">
        <f t="shared" si="19"/>
        <v>5440710</v>
      </c>
      <c r="M20" s="39">
        <f t="shared" si="19"/>
        <v>5440710</v>
      </c>
      <c r="N20" s="39">
        <f t="shared" si="19"/>
        <v>5440710</v>
      </c>
      <c r="O20" s="39">
        <f t="shared" si="19"/>
        <v>5440710</v>
      </c>
      <c r="P20" s="39">
        <f t="shared" si="19"/>
        <v>5440710</v>
      </c>
      <c r="Q20" s="39">
        <f t="shared" si="19"/>
        <v>5440710</v>
      </c>
      <c r="R20" s="39">
        <f t="shared" si="19"/>
        <v>5440710</v>
      </c>
      <c r="S20" s="39">
        <f t="shared" si="19"/>
        <v>5440710</v>
      </c>
      <c r="T20" s="39">
        <f t="shared" si="19"/>
        <v>5440710</v>
      </c>
      <c r="U20" s="39">
        <f t="shared" si="19"/>
        <v>5435355</v>
      </c>
    </row>
    <row r="21" spans="1:22" x14ac:dyDescent="0.25">
      <c r="A21" s="36"/>
      <c r="B21" s="47"/>
      <c r="C21" s="37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</row>
    <row r="22" spans="1:22" x14ac:dyDescent="0.25">
      <c r="A22" s="36"/>
      <c r="B22" s="38" t="s">
        <v>45</v>
      </c>
      <c r="C22" s="37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</row>
    <row r="23" spans="1:22" x14ac:dyDescent="0.25">
      <c r="A23" s="36"/>
      <c r="B23" s="37" t="s">
        <v>46</v>
      </c>
      <c r="C23" s="37" t="s">
        <v>300</v>
      </c>
      <c r="D23" s="40">
        <v>1</v>
      </c>
      <c r="E23" s="40">
        <f>E11/15</f>
        <v>4000</v>
      </c>
      <c r="F23" s="40">
        <f>D23*E23</f>
        <v>4000</v>
      </c>
      <c r="G23" s="40">
        <f t="shared" ref="G23" si="20">F23</f>
        <v>4000</v>
      </c>
      <c r="H23" s="40">
        <f>D23*E23</f>
        <v>4000</v>
      </c>
      <c r="I23" s="40">
        <f t="shared" ref="I23:U23" si="21">H23</f>
        <v>4000</v>
      </c>
      <c r="J23" s="40">
        <f t="shared" si="21"/>
        <v>4000</v>
      </c>
      <c r="K23" s="40">
        <f t="shared" si="21"/>
        <v>4000</v>
      </c>
      <c r="L23" s="40">
        <f t="shared" si="21"/>
        <v>4000</v>
      </c>
      <c r="M23" s="40">
        <f t="shared" si="21"/>
        <v>4000</v>
      </c>
      <c r="N23" s="40">
        <f t="shared" si="21"/>
        <v>4000</v>
      </c>
      <c r="O23" s="40">
        <f t="shared" si="21"/>
        <v>4000</v>
      </c>
      <c r="P23" s="40">
        <f t="shared" si="21"/>
        <v>4000</v>
      </c>
      <c r="Q23" s="40">
        <f t="shared" si="21"/>
        <v>4000</v>
      </c>
      <c r="R23" s="40">
        <f t="shared" si="21"/>
        <v>4000</v>
      </c>
      <c r="S23" s="40">
        <f t="shared" si="21"/>
        <v>4000</v>
      </c>
      <c r="T23" s="40">
        <f t="shared" si="21"/>
        <v>4000</v>
      </c>
      <c r="U23" s="40">
        <f t="shared" si="21"/>
        <v>4000</v>
      </c>
      <c r="V23" s="48">
        <f>SUM(H23:U23)</f>
        <v>56000</v>
      </c>
    </row>
    <row r="24" spans="1:22" x14ac:dyDescent="0.25">
      <c r="A24" s="36"/>
      <c r="B24" s="38" t="s">
        <v>48</v>
      </c>
      <c r="C24" s="37"/>
      <c r="D24" s="40"/>
      <c r="E24" s="40"/>
      <c r="F24" s="39">
        <f>F15</f>
        <v>10710</v>
      </c>
      <c r="G24" s="39">
        <f t="shared" ref="G24:U24" si="22">G15</f>
        <v>10710</v>
      </c>
      <c r="H24" s="39">
        <f t="shared" si="22"/>
        <v>10710</v>
      </c>
      <c r="I24" s="39">
        <f t="shared" si="22"/>
        <v>10710</v>
      </c>
      <c r="J24" s="39">
        <f t="shared" si="22"/>
        <v>10710</v>
      </c>
      <c r="K24" s="39">
        <f t="shared" si="22"/>
        <v>10710</v>
      </c>
      <c r="L24" s="39">
        <f t="shared" si="22"/>
        <v>10710</v>
      </c>
      <c r="M24" s="39">
        <f t="shared" si="22"/>
        <v>10710</v>
      </c>
      <c r="N24" s="39">
        <f t="shared" si="22"/>
        <v>10710</v>
      </c>
      <c r="O24" s="39">
        <f t="shared" si="22"/>
        <v>10710</v>
      </c>
      <c r="P24" s="39">
        <f t="shared" si="22"/>
        <v>10710</v>
      </c>
      <c r="Q24" s="39">
        <f t="shared" si="22"/>
        <v>10710</v>
      </c>
      <c r="R24" s="39">
        <f t="shared" si="22"/>
        <v>10710</v>
      </c>
      <c r="S24" s="39">
        <f t="shared" si="22"/>
        <v>10710</v>
      </c>
      <c r="T24" s="39">
        <f t="shared" si="22"/>
        <v>10710</v>
      </c>
      <c r="U24" s="39">
        <f t="shared" si="22"/>
        <v>5355</v>
      </c>
    </row>
    <row r="25" spans="1:22" x14ac:dyDescent="0.25">
      <c r="A25" s="36"/>
      <c r="B25" s="38" t="s">
        <v>49</v>
      </c>
      <c r="C25" s="37"/>
      <c r="D25" s="40"/>
      <c r="E25" s="40"/>
      <c r="F25" s="39">
        <f t="shared" ref="F25:U25" si="23">F12+F20+F24</f>
        <v>5451420</v>
      </c>
      <c r="G25" s="39">
        <f t="shared" si="23"/>
        <v>5451420</v>
      </c>
      <c r="H25" s="39">
        <f t="shared" si="23"/>
        <v>5661420</v>
      </c>
      <c r="I25" s="39">
        <f t="shared" si="23"/>
        <v>5451420</v>
      </c>
      <c r="J25" s="39">
        <f t="shared" si="23"/>
        <v>5451420</v>
      </c>
      <c r="K25" s="39">
        <f t="shared" si="23"/>
        <v>5451420</v>
      </c>
      <c r="L25" s="39">
        <f t="shared" si="23"/>
        <v>5451420</v>
      </c>
      <c r="M25" s="39">
        <f t="shared" si="23"/>
        <v>5451420</v>
      </c>
      <c r="N25" s="39">
        <f t="shared" si="23"/>
        <v>5451420</v>
      </c>
      <c r="O25" s="39">
        <f t="shared" si="23"/>
        <v>5451420</v>
      </c>
      <c r="P25" s="39">
        <f t="shared" si="23"/>
        <v>5451420</v>
      </c>
      <c r="Q25" s="39">
        <f t="shared" si="23"/>
        <v>5451420</v>
      </c>
      <c r="R25" s="39">
        <f t="shared" si="23"/>
        <v>5451420</v>
      </c>
      <c r="S25" s="39">
        <f t="shared" si="23"/>
        <v>5451420</v>
      </c>
      <c r="T25" s="39">
        <f t="shared" si="23"/>
        <v>5451420</v>
      </c>
      <c r="U25" s="39">
        <f t="shared" si="23"/>
        <v>5440710</v>
      </c>
    </row>
    <row r="26" spans="1:22" x14ac:dyDescent="0.25">
      <c r="A26" s="36"/>
      <c r="B26" s="38"/>
      <c r="C26" s="37"/>
      <c r="D26" s="40"/>
      <c r="E26" s="49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</row>
    <row r="27" spans="1:22" x14ac:dyDescent="0.25">
      <c r="A27" s="36"/>
      <c r="B27" s="38" t="s">
        <v>50</v>
      </c>
      <c r="C27" s="37" t="s">
        <v>300</v>
      </c>
      <c r="D27" s="40"/>
      <c r="E27" s="40"/>
      <c r="F27" s="40"/>
      <c r="G27" s="39"/>
      <c r="H27" s="39"/>
      <c r="I27" s="39">
        <f>-(I6-I12-I20)</f>
        <v>2888710</v>
      </c>
      <c r="J27" s="39">
        <f t="shared" ref="J27:U27" si="24">J6-J12-J20</f>
        <v>-2888710</v>
      </c>
      <c r="K27" s="39">
        <f t="shared" si="24"/>
        <v>-2388710</v>
      </c>
      <c r="L27" s="39">
        <f t="shared" si="24"/>
        <v>-1788710</v>
      </c>
      <c r="M27" s="39">
        <f t="shared" si="24"/>
        <v>-1068710</v>
      </c>
      <c r="N27" s="39">
        <f t="shared" si="24"/>
        <v>-204710</v>
      </c>
      <c r="O27" s="39">
        <f t="shared" si="24"/>
        <v>832090</v>
      </c>
      <c r="P27" s="39">
        <f t="shared" si="24"/>
        <v>2076250</v>
      </c>
      <c r="Q27" s="39">
        <f t="shared" si="24"/>
        <v>3569242</v>
      </c>
      <c r="R27" s="39">
        <f t="shared" si="24"/>
        <v>5360832.4000000004</v>
      </c>
      <c r="S27" s="39">
        <f t="shared" si="24"/>
        <v>7510740.8800000008</v>
      </c>
      <c r="T27" s="39">
        <f t="shared" si="24"/>
        <v>10090631.056</v>
      </c>
      <c r="U27" s="39">
        <f t="shared" si="24"/>
        <v>13191854.267200001</v>
      </c>
    </row>
    <row r="28" spans="1:22" x14ac:dyDescent="0.25">
      <c r="A28" s="36"/>
      <c r="B28" s="38" t="s">
        <v>51</v>
      </c>
      <c r="C28" s="37" t="s">
        <v>300</v>
      </c>
      <c r="D28" s="40"/>
      <c r="E28" s="40"/>
      <c r="F28" s="40"/>
      <c r="G28" s="39">
        <f>H28</f>
        <v>-2878000</v>
      </c>
      <c r="H28" s="39">
        <f>I28</f>
        <v>-2878000</v>
      </c>
      <c r="I28" s="39">
        <f>-(I27-I24)</f>
        <v>-2878000</v>
      </c>
      <c r="J28" s="39">
        <f>I28</f>
        <v>-2878000</v>
      </c>
      <c r="K28" s="39">
        <f>K27-K24</f>
        <v>-2399420</v>
      </c>
      <c r="L28" s="39">
        <f>L27-L24</f>
        <v>-1799420</v>
      </c>
      <c r="M28" s="39">
        <f>(M27-M24)</f>
        <v>-1079420</v>
      </c>
      <c r="N28" s="39">
        <f t="shared" ref="N28:U28" si="25">N27-N24</f>
        <v>-215420</v>
      </c>
      <c r="O28" s="39">
        <f t="shared" si="25"/>
        <v>821380</v>
      </c>
      <c r="P28" s="39">
        <f t="shared" si="25"/>
        <v>2065540</v>
      </c>
      <c r="Q28" s="39">
        <f t="shared" si="25"/>
        <v>3558532</v>
      </c>
      <c r="R28" s="39">
        <f t="shared" si="25"/>
        <v>5350122.4000000004</v>
      </c>
      <c r="S28" s="39">
        <f t="shared" si="25"/>
        <v>7500030.8800000008</v>
      </c>
      <c r="T28" s="39">
        <f t="shared" si="25"/>
        <v>10079921.056</v>
      </c>
      <c r="U28" s="39">
        <f t="shared" si="25"/>
        <v>13186499.267200001</v>
      </c>
    </row>
    <row r="29" spans="1:22" x14ac:dyDescent="0.25">
      <c r="A29" s="1"/>
      <c r="B29" s="140" t="s">
        <v>52</v>
      </c>
      <c r="C29" s="141"/>
      <c r="D29" s="141"/>
      <c r="E29" s="141"/>
      <c r="F29" s="142"/>
      <c r="G29" s="53">
        <f>IRR(I28:U28)</f>
        <v>0.16676294880901588</v>
      </c>
      <c r="H29" s="54"/>
      <c r="I29" s="54"/>
      <c r="J29" s="54"/>
      <c r="K29" s="54"/>
      <c r="L29" s="54"/>
      <c r="M29" s="54"/>
      <c r="N29" s="54"/>
      <c r="O29" s="54"/>
      <c r="P29" s="54"/>
    </row>
    <row r="30" spans="1:22" x14ac:dyDescent="0.25">
      <c r="A30" s="1"/>
      <c r="B30" s="140" t="s">
        <v>53</v>
      </c>
      <c r="C30" s="141"/>
      <c r="D30" s="141"/>
      <c r="E30" s="141"/>
      <c r="F30" s="142"/>
      <c r="G30" s="55">
        <f>-(NPV(0.1,G28:U28))</f>
        <v>202606.47908779664</v>
      </c>
      <c r="H30" s="54"/>
      <c r="I30" s="54"/>
      <c r="J30" s="54"/>
      <c r="K30" s="54"/>
      <c r="L30" s="54"/>
      <c r="M30" s="54"/>
      <c r="N30" s="54"/>
      <c r="O30" s="54"/>
      <c r="P30" s="54"/>
    </row>
    <row r="31" spans="1:22" x14ac:dyDescent="0.25">
      <c r="A31" s="1"/>
      <c r="B31" s="148"/>
      <c r="C31" s="148"/>
      <c r="D31" s="148"/>
      <c r="E31" s="148"/>
      <c r="F31" s="148"/>
      <c r="G31" s="56"/>
      <c r="H31" s="57"/>
      <c r="I31" s="57"/>
      <c r="J31" s="57"/>
      <c r="K31" s="57"/>
      <c r="L31" s="57"/>
      <c r="M31" s="57"/>
      <c r="N31" s="57"/>
      <c r="O31" s="57"/>
      <c r="P31" s="57"/>
    </row>
    <row r="32" spans="1:22" x14ac:dyDescent="0.25">
      <c r="A32" s="1"/>
      <c r="B32" s="148"/>
      <c r="C32" s="149"/>
      <c r="D32" s="149"/>
      <c r="E32" s="149"/>
      <c r="F32" s="149"/>
      <c r="G32" s="58"/>
      <c r="H32" s="57"/>
      <c r="I32" s="57"/>
      <c r="J32" s="57"/>
      <c r="K32" s="57"/>
      <c r="L32" s="57"/>
      <c r="M32" s="57"/>
      <c r="N32" s="57"/>
      <c r="O32" s="57"/>
      <c r="P32" s="57"/>
    </row>
    <row r="33" spans="1:21" x14ac:dyDescent="0.25">
      <c r="A33" s="1"/>
      <c r="B33" s="148"/>
      <c r="C33" s="149"/>
      <c r="D33" s="149"/>
      <c r="E33" s="149"/>
      <c r="F33" s="149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</row>
    <row r="34" spans="1:21" x14ac:dyDescent="0.25">
      <c r="A34" s="1"/>
      <c r="B34" s="146"/>
      <c r="C34" s="147"/>
      <c r="D34" s="147"/>
      <c r="E34" s="147"/>
      <c r="F34" s="147"/>
      <c r="G34" s="53"/>
      <c r="H34" s="57"/>
      <c r="I34" s="57"/>
      <c r="J34" s="57"/>
      <c r="K34" s="57"/>
      <c r="L34" s="57"/>
      <c r="M34" s="57"/>
      <c r="N34" s="57"/>
      <c r="O34" s="57"/>
      <c r="P34" s="57"/>
    </row>
    <row r="35" spans="1:21" x14ac:dyDescent="0.25">
      <c r="A35" s="1"/>
      <c r="B35" s="146"/>
      <c r="C35" s="147"/>
      <c r="D35" s="147"/>
      <c r="E35" s="147"/>
      <c r="F35" s="147"/>
      <c r="G35" s="55"/>
      <c r="H35" s="57"/>
      <c r="I35" s="57"/>
      <c r="J35" s="57"/>
      <c r="K35" s="57"/>
      <c r="L35" s="57"/>
      <c r="M35" s="57"/>
      <c r="N35" s="57"/>
      <c r="O35" s="57"/>
      <c r="P35" s="57"/>
    </row>
    <row r="36" spans="1:21" x14ac:dyDescent="0.25">
      <c r="A36" s="1"/>
      <c r="B36" s="50"/>
      <c r="C36" s="51"/>
      <c r="D36" s="51"/>
      <c r="E36" s="51"/>
      <c r="F36" s="52"/>
      <c r="G36" s="55"/>
      <c r="H36" s="54"/>
      <c r="I36" s="54"/>
      <c r="J36" s="54"/>
      <c r="K36" s="54"/>
      <c r="L36" s="54"/>
      <c r="M36" s="54"/>
      <c r="N36" s="54"/>
      <c r="O36" s="54"/>
      <c r="P36" s="54"/>
    </row>
    <row r="37" spans="1:21" x14ac:dyDescent="0.25">
      <c r="A37" s="36"/>
      <c r="B37" s="37"/>
      <c r="C37" s="37"/>
      <c r="D37" s="40"/>
      <c r="E37" s="40"/>
      <c r="F37" s="40"/>
      <c r="G37" s="39"/>
      <c r="H37" s="40"/>
      <c r="I37" s="40"/>
      <c r="J37" s="40"/>
      <c r="K37" s="40"/>
      <c r="L37" s="40"/>
      <c r="M37" s="40"/>
      <c r="N37" s="40"/>
      <c r="O37" s="40"/>
      <c r="P37" s="40"/>
    </row>
    <row r="38" spans="1:21" x14ac:dyDescent="0.25">
      <c r="A38" s="36"/>
      <c r="B38" s="37"/>
      <c r="C38" s="37"/>
      <c r="D38" s="40"/>
      <c r="E38" s="40"/>
      <c r="F38" s="40"/>
      <c r="G38" s="39"/>
      <c r="H38" s="40"/>
      <c r="I38" s="40"/>
      <c r="J38" s="40"/>
      <c r="K38" s="40"/>
      <c r="L38" s="40"/>
      <c r="M38" s="40"/>
      <c r="N38" s="40"/>
      <c r="O38" s="40"/>
      <c r="P38" s="40"/>
    </row>
    <row r="39" spans="1:21" x14ac:dyDescent="0.25">
      <c r="A39" s="36"/>
      <c r="B39" s="36"/>
      <c r="C39" s="36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</row>
    <row r="40" spans="1:21" x14ac:dyDescent="0.25">
      <c r="A40" s="36"/>
      <c r="B40" s="36"/>
      <c r="C40" s="36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</row>
    <row r="41" spans="1:21" x14ac:dyDescent="0.25">
      <c r="A41" s="36"/>
      <c r="B41" s="143" t="s">
        <v>54</v>
      </c>
      <c r="C41" s="143"/>
      <c r="D41" s="143"/>
      <c r="E41" s="143"/>
      <c r="F41" s="143"/>
      <c r="G41" s="143"/>
      <c r="H41" s="143"/>
      <c r="I41" s="143"/>
      <c r="J41" s="143"/>
      <c r="K41" s="143"/>
      <c r="L41" s="143"/>
      <c r="M41" s="143"/>
      <c r="N41" s="143"/>
      <c r="O41" s="143"/>
      <c r="P41" s="143"/>
    </row>
    <row r="42" spans="1:21" x14ac:dyDescent="0.25">
      <c r="A42" s="36"/>
      <c r="B42" s="37"/>
      <c r="C42" s="38" t="s">
        <v>19</v>
      </c>
      <c r="D42" s="39" t="s">
        <v>20</v>
      </c>
      <c r="E42" s="39" t="s">
        <v>21</v>
      </c>
      <c r="F42" s="39" t="s">
        <v>22</v>
      </c>
      <c r="G42" s="144" t="s">
        <v>23</v>
      </c>
      <c r="H42" s="145"/>
      <c r="I42" s="145"/>
      <c r="J42" s="145"/>
      <c r="K42" s="145"/>
      <c r="L42" s="145"/>
      <c r="M42" s="145"/>
      <c r="N42" s="145"/>
      <c r="O42" s="145"/>
      <c r="P42" s="145"/>
    </row>
    <row r="43" spans="1:21" x14ac:dyDescent="0.25">
      <c r="A43" s="36"/>
      <c r="B43" s="38" t="s">
        <v>24</v>
      </c>
      <c r="C43" s="37"/>
      <c r="D43" s="150" t="s">
        <v>25</v>
      </c>
      <c r="E43" s="151"/>
      <c r="F43" s="152"/>
      <c r="G43" s="40">
        <v>1</v>
      </c>
      <c r="H43" s="40">
        <f t="shared" ref="H43:P43" si="26">G43+1</f>
        <v>2</v>
      </c>
      <c r="I43" s="40">
        <f t="shared" si="26"/>
        <v>3</v>
      </c>
      <c r="J43" s="40">
        <f t="shared" si="26"/>
        <v>4</v>
      </c>
      <c r="K43" s="40">
        <f t="shared" si="26"/>
        <v>5</v>
      </c>
      <c r="L43" s="40">
        <f t="shared" si="26"/>
        <v>6</v>
      </c>
      <c r="M43" s="40">
        <f t="shared" si="26"/>
        <v>7</v>
      </c>
      <c r="N43" s="40">
        <f t="shared" si="26"/>
        <v>8</v>
      </c>
      <c r="O43" s="40">
        <f t="shared" si="26"/>
        <v>9</v>
      </c>
      <c r="P43" s="40">
        <f t="shared" si="26"/>
        <v>10</v>
      </c>
      <c r="Q43">
        <v>11</v>
      </c>
      <c r="R43">
        <v>12</v>
      </c>
      <c r="S43">
        <v>13</v>
      </c>
      <c r="T43">
        <v>14</v>
      </c>
      <c r="U43">
        <v>15</v>
      </c>
    </row>
    <row r="44" spans="1:21" ht="35.25" customHeight="1" x14ac:dyDescent="0.25">
      <c r="A44" s="36"/>
      <c r="B44" s="41" t="s">
        <v>279</v>
      </c>
      <c r="C44" s="37" t="s">
        <v>297</v>
      </c>
      <c r="D44" s="40">
        <f>D4</f>
        <v>1000</v>
      </c>
      <c r="E44" s="40">
        <f>E4*0.9</f>
        <v>2250</v>
      </c>
      <c r="F44" s="40"/>
      <c r="G44" s="40">
        <v>0</v>
      </c>
      <c r="H44" s="40">
        <f>F44</f>
        <v>0</v>
      </c>
      <c r="I44" s="40">
        <f>D44*E44*10</f>
        <v>22500000</v>
      </c>
      <c r="J44" s="40">
        <f>I44</f>
        <v>22500000</v>
      </c>
      <c r="K44" s="40">
        <f t="shared" ref="K44:U45" si="27">J44</f>
        <v>22500000</v>
      </c>
      <c r="L44" s="40">
        <f t="shared" si="27"/>
        <v>22500000</v>
      </c>
      <c r="M44" s="40">
        <f t="shared" si="27"/>
        <v>22500000</v>
      </c>
      <c r="N44" s="40">
        <f t="shared" si="27"/>
        <v>22500000</v>
      </c>
      <c r="O44" s="40">
        <f t="shared" si="27"/>
        <v>22500000</v>
      </c>
      <c r="P44" s="40">
        <f t="shared" si="27"/>
        <v>22500000</v>
      </c>
      <c r="Q44" s="40">
        <f t="shared" si="27"/>
        <v>22500000</v>
      </c>
      <c r="R44" s="40">
        <f t="shared" si="27"/>
        <v>22500000</v>
      </c>
      <c r="S44" s="40">
        <f t="shared" si="27"/>
        <v>22500000</v>
      </c>
      <c r="T44" s="40">
        <f t="shared" si="27"/>
        <v>22500000</v>
      </c>
      <c r="U44" s="40">
        <f t="shared" si="27"/>
        <v>22500000</v>
      </c>
    </row>
    <row r="45" spans="1:21" ht="22.5" customHeight="1" x14ac:dyDescent="0.25">
      <c r="A45" s="36"/>
      <c r="B45" s="41" t="s">
        <v>301</v>
      </c>
      <c r="C45" s="37" t="s">
        <v>311</v>
      </c>
      <c r="D45" s="42">
        <f>D5</f>
        <v>520</v>
      </c>
      <c r="E45" s="40">
        <f>E5*0.9</f>
        <v>90</v>
      </c>
      <c r="F45" s="40"/>
      <c r="G45" s="40">
        <f>F45</f>
        <v>0</v>
      </c>
      <c r="H45" s="40">
        <f>F45</f>
        <v>0</v>
      </c>
      <c r="I45" s="40">
        <f>E45*D45</f>
        <v>46800</v>
      </c>
      <c r="J45" s="40">
        <f>I45</f>
        <v>46800</v>
      </c>
      <c r="K45" s="40">
        <f t="shared" si="27"/>
        <v>46800</v>
      </c>
      <c r="L45" s="40">
        <f t="shared" si="27"/>
        <v>46800</v>
      </c>
      <c r="M45" s="40">
        <f t="shared" si="27"/>
        <v>46800</v>
      </c>
      <c r="N45" s="40">
        <f t="shared" si="27"/>
        <v>46800</v>
      </c>
      <c r="O45" s="40">
        <f t="shared" si="27"/>
        <v>46800</v>
      </c>
      <c r="P45" s="40">
        <f t="shared" si="27"/>
        <v>46800</v>
      </c>
      <c r="Q45" s="40">
        <f t="shared" si="27"/>
        <v>46800</v>
      </c>
      <c r="R45" s="40">
        <f t="shared" si="27"/>
        <v>46800</v>
      </c>
      <c r="S45" s="40">
        <f t="shared" si="27"/>
        <v>46800</v>
      </c>
      <c r="T45" s="40">
        <f t="shared" si="27"/>
        <v>46800</v>
      </c>
      <c r="U45" s="40">
        <f t="shared" si="27"/>
        <v>46800</v>
      </c>
    </row>
    <row r="46" spans="1:21" x14ac:dyDescent="0.25">
      <c r="A46" s="36"/>
      <c r="B46" s="38" t="s">
        <v>30</v>
      </c>
      <c r="C46" s="37"/>
      <c r="D46" s="40"/>
      <c r="E46" s="40"/>
      <c r="F46" s="39">
        <f t="shared" ref="F46:U46" si="28">SUM(F44:F45)</f>
        <v>0</v>
      </c>
      <c r="G46" s="39">
        <f t="shared" si="28"/>
        <v>0</v>
      </c>
      <c r="H46" s="39">
        <f t="shared" si="28"/>
        <v>0</v>
      </c>
      <c r="I46" s="39">
        <f t="shared" si="28"/>
        <v>22546800</v>
      </c>
      <c r="J46" s="39">
        <f t="shared" si="28"/>
        <v>22546800</v>
      </c>
      <c r="K46" s="39">
        <f t="shared" si="28"/>
        <v>22546800</v>
      </c>
      <c r="L46" s="39">
        <f t="shared" si="28"/>
        <v>22546800</v>
      </c>
      <c r="M46" s="39">
        <f t="shared" si="28"/>
        <v>22546800</v>
      </c>
      <c r="N46" s="39">
        <f t="shared" si="28"/>
        <v>22546800</v>
      </c>
      <c r="O46" s="39">
        <f t="shared" si="28"/>
        <v>22546800</v>
      </c>
      <c r="P46" s="39">
        <f t="shared" si="28"/>
        <v>22546800</v>
      </c>
      <c r="Q46" s="39">
        <f t="shared" si="28"/>
        <v>22546800</v>
      </c>
      <c r="R46" s="39">
        <f t="shared" si="28"/>
        <v>22546800</v>
      </c>
      <c r="S46" s="39">
        <f t="shared" si="28"/>
        <v>22546800</v>
      </c>
      <c r="T46" s="39">
        <f t="shared" si="28"/>
        <v>22546800</v>
      </c>
      <c r="U46" s="39">
        <f t="shared" si="28"/>
        <v>22546800</v>
      </c>
    </row>
    <row r="47" spans="1:21" x14ac:dyDescent="0.25">
      <c r="A47" s="36"/>
      <c r="B47" s="37"/>
      <c r="C47" s="37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</row>
    <row r="48" spans="1:21" x14ac:dyDescent="0.25">
      <c r="A48" s="36"/>
      <c r="B48" s="43" t="s">
        <v>280</v>
      </c>
      <c r="C48" s="37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</row>
    <row r="49" spans="1:22" x14ac:dyDescent="0.25">
      <c r="A49" s="36"/>
      <c r="B49" s="38" t="s">
        <v>32</v>
      </c>
      <c r="C49" s="37"/>
      <c r="D49" s="40"/>
      <c r="E49" s="40"/>
      <c r="F49" s="44"/>
      <c r="G49" s="40"/>
      <c r="H49" s="40"/>
      <c r="I49" s="40"/>
      <c r="J49" s="40"/>
      <c r="K49" s="40"/>
      <c r="L49" s="40"/>
      <c r="M49" s="40"/>
      <c r="N49" s="40"/>
      <c r="O49" s="40"/>
      <c r="P49" s="40"/>
    </row>
    <row r="50" spans="1:22" x14ac:dyDescent="0.25">
      <c r="A50" s="36"/>
      <c r="B50" s="45" t="s">
        <v>309</v>
      </c>
      <c r="C50" s="37" t="s">
        <v>34</v>
      </c>
      <c r="D50" s="40">
        <f>D10</f>
        <v>500</v>
      </c>
      <c r="E50" s="40">
        <f>E10*0.9</f>
        <v>270</v>
      </c>
      <c r="F50" s="40">
        <f>D50*E50</f>
        <v>135000</v>
      </c>
      <c r="G50" s="40">
        <f>D50*E50</f>
        <v>135000</v>
      </c>
      <c r="H50" s="40">
        <f>G50</f>
        <v>135000</v>
      </c>
      <c r="I50" s="40">
        <v>0</v>
      </c>
      <c r="J50" s="40">
        <v>0</v>
      </c>
      <c r="K50" s="40">
        <v>0</v>
      </c>
      <c r="L50" s="40"/>
      <c r="M50" s="40"/>
      <c r="N50" s="40"/>
      <c r="O50" s="40"/>
      <c r="P50" s="40"/>
    </row>
    <row r="51" spans="1:22" x14ac:dyDescent="0.25">
      <c r="A51" s="36"/>
      <c r="B51" s="45" t="s">
        <v>310</v>
      </c>
      <c r="C51" s="37" t="s">
        <v>36</v>
      </c>
      <c r="D51" s="40">
        <v>1</v>
      </c>
      <c r="E51" s="40">
        <f>E11*0.9</f>
        <v>54000</v>
      </c>
      <c r="F51" s="40">
        <f t="shared" ref="F51" si="29">D51*E51</f>
        <v>54000</v>
      </c>
      <c r="G51" s="40">
        <f>D51*E51</f>
        <v>54000</v>
      </c>
      <c r="H51" s="40">
        <f>G51</f>
        <v>54000</v>
      </c>
      <c r="I51" s="40">
        <v>0</v>
      </c>
      <c r="J51" s="40">
        <v>0</v>
      </c>
      <c r="K51" s="40">
        <v>0</v>
      </c>
      <c r="L51" s="40"/>
      <c r="M51" s="40"/>
      <c r="N51" s="40"/>
      <c r="O51" s="40"/>
      <c r="P51" s="40"/>
    </row>
    <row r="52" spans="1:22" x14ac:dyDescent="0.25">
      <c r="A52" s="36"/>
      <c r="B52" s="38" t="s">
        <v>37</v>
      </c>
      <c r="C52" s="37"/>
      <c r="D52" s="40"/>
      <c r="E52" s="40"/>
      <c r="F52" s="39">
        <f t="shared" ref="F52:K52" si="30">SUM(F50:F51)</f>
        <v>189000</v>
      </c>
      <c r="G52" s="39">
        <f t="shared" si="30"/>
        <v>189000</v>
      </c>
      <c r="H52" s="39">
        <f t="shared" si="30"/>
        <v>189000</v>
      </c>
      <c r="I52" s="39">
        <f t="shared" si="30"/>
        <v>0</v>
      </c>
      <c r="J52" s="39">
        <f t="shared" si="30"/>
        <v>0</v>
      </c>
      <c r="K52" s="39">
        <f t="shared" si="30"/>
        <v>0</v>
      </c>
      <c r="L52" s="39"/>
      <c r="M52" s="39"/>
      <c r="N52" s="39"/>
      <c r="O52" s="39"/>
      <c r="P52" s="39"/>
    </row>
    <row r="53" spans="1:22" x14ac:dyDescent="0.25">
      <c r="A53" s="36"/>
      <c r="B53" s="37"/>
      <c r="C53" s="37"/>
      <c r="D53" s="40"/>
      <c r="E53" s="40"/>
      <c r="F53" s="40">
        <f t="shared" ref="F53:F54" si="31">D53*E53</f>
        <v>0</v>
      </c>
      <c r="G53" s="40"/>
      <c r="H53" s="40"/>
      <c r="I53" s="40"/>
      <c r="J53" s="40"/>
      <c r="K53" s="40"/>
      <c r="L53" s="40"/>
      <c r="M53" s="40"/>
      <c r="N53" s="40"/>
      <c r="O53" s="40"/>
      <c r="P53" s="40"/>
    </row>
    <row r="54" spans="1:22" x14ac:dyDescent="0.25">
      <c r="A54" s="36"/>
      <c r="B54" s="38" t="s">
        <v>292</v>
      </c>
      <c r="C54" s="37"/>
      <c r="D54" s="40"/>
      <c r="E54" s="40"/>
      <c r="F54" s="40">
        <f t="shared" si="31"/>
        <v>0</v>
      </c>
      <c r="G54" s="40"/>
      <c r="H54" s="40"/>
      <c r="I54" s="40"/>
      <c r="J54" s="40"/>
      <c r="K54" s="40"/>
      <c r="L54" s="40"/>
      <c r="M54" s="40"/>
      <c r="N54" s="40"/>
      <c r="O54" s="40"/>
      <c r="P54" s="40"/>
    </row>
    <row r="55" spans="1:22" x14ac:dyDescent="0.25">
      <c r="A55" s="36"/>
      <c r="B55" s="154" t="s">
        <v>283</v>
      </c>
      <c r="C55" s="37" t="s">
        <v>298</v>
      </c>
      <c r="D55" s="40">
        <v>10700</v>
      </c>
      <c r="E55" s="40">
        <f>E15</f>
        <v>1</v>
      </c>
      <c r="F55" s="40">
        <f>D55*E55</f>
        <v>10700</v>
      </c>
      <c r="G55" s="40">
        <f>F55</f>
        <v>10700</v>
      </c>
      <c r="H55" s="40">
        <f>F55</f>
        <v>10700</v>
      </c>
      <c r="I55" s="40">
        <f>H55</f>
        <v>10700</v>
      </c>
      <c r="J55" s="40">
        <f t="shared" ref="J55:U59" si="32">I55</f>
        <v>10700</v>
      </c>
      <c r="K55" s="40">
        <f t="shared" si="32"/>
        <v>10700</v>
      </c>
      <c r="L55" s="40">
        <f t="shared" si="32"/>
        <v>10700</v>
      </c>
      <c r="M55" s="40">
        <f t="shared" si="32"/>
        <v>10700</v>
      </c>
      <c r="N55" s="40">
        <f t="shared" si="32"/>
        <v>10700</v>
      </c>
      <c r="O55" s="40">
        <f t="shared" si="32"/>
        <v>10700</v>
      </c>
      <c r="P55" s="40">
        <f t="shared" si="32"/>
        <v>10700</v>
      </c>
      <c r="Q55" s="40">
        <f t="shared" si="32"/>
        <v>10700</v>
      </c>
      <c r="R55" s="40">
        <f t="shared" si="32"/>
        <v>10700</v>
      </c>
      <c r="S55" s="40">
        <f t="shared" si="32"/>
        <v>10700</v>
      </c>
      <c r="T55" s="40">
        <f t="shared" si="32"/>
        <v>10700</v>
      </c>
      <c r="U55" s="40">
        <f>T55*0.5</f>
        <v>5350</v>
      </c>
    </row>
    <row r="56" spans="1:22" ht="30" x14ac:dyDescent="0.25">
      <c r="A56" s="36"/>
      <c r="B56" s="154" t="s">
        <v>306</v>
      </c>
      <c r="C56" s="37" t="s">
        <v>298</v>
      </c>
      <c r="D56" s="40">
        <f>D16*0.9</f>
        <v>1800</v>
      </c>
      <c r="E56" s="40">
        <f>E16</f>
        <v>900</v>
      </c>
      <c r="F56" s="40">
        <f>D56*E56</f>
        <v>1620000</v>
      </c>
      <c r="G56" s="40">
        <f>F56</f>
        <v>1620000</v>
      </c>
      <c r="H56" s="40">
        <f>F56</f>
        <v>1620000</v>
      </c>
      <c r="I56" s="40">
        <f t="shared" ref="I56" si="33">H56</f>
        <v>1620000</v>
      </c>
      <c r="J56" s="40">
        <f t="shared" ref="J56" si="34">H56</f>
        <v>1620000</v>
      </c>
      <c r="K56" s="40">
        <f t="shared" si="32"/>
        <v>1620000</v>
      </c>
      <c r="L56" s="40">
        <f t="shared" ref="L56" si="35">J56</f>
        <v>1620000</v>
      </c>
      <c r="M56" s="40">
        <f t="shared" si="32"/>
        <v>1620000</v>
      </c>
      <c r="N56" s="40">
        <f t="shared" ref="N56" si="36">L56</f>
        <v>1620000</v>
      </c>
      <c r="O56" s="40">
        <f t="shared" si="32"/>
        <v>1620000</v>
      </c>
      <c r="P56" s="40">
        <f t="shared" ref="P56" si="37">N56</f>
        <v>1620000</v>
      </c>
      <c r="Q56" s="40">
        <f t="shared" si="32"/>
        <v>1620000</v>
      </c>
      <c r="R56" s="40">
        <f t="shared" ref="R56" si="38">P56</f>
        <v>1620000</v>
      </c>
      <c r="S56" s="40">
        <f t="shared" si="32"/>
        <v>1620000</v>
      </c>
      <c r="T56" s="40">
        <f t="shared" ref="T56" si="39">R56</f>
        <v>1620000</v>
      </c>
      <c r="U56" s="40">
        <f t="shared" si="32"/>
        <v>1620000</v>
      </c>
    </row>
    <row r="57" spans="1:22" x14ac:dyDescent="0.25">
      <c r="A57" s="36"/>
      <c r="B57" s="154" t="s">
        <v>286</v>
      </c>
      <c r="C57" s="37" t="s">
        <v>298</v>
      </c>
      <c r="D57" s="40"/>
      <c r="E57" s="40">
        <f>E17*0.9</f>
        <v>0</v>
      </c>
      <c r="F57" s="40">
        <f>F17*0.9</f>
        <v>900000</v>
      </c>
      <c r="G57" s="40">
        <f>G17*0.9</f>
        <v>900000</v>
      </c>
      <c r="H57" s="40">
        <f>F57</f>
        <v>900000</v>
      </c>
      <c r="I57" s="40">
        <f>H57</f>
        <v>900000</v>
      </c>
      <c r="J57" s="40">
        <f>I57</f>
        <v>900000</v>
      </c>
      <c r="K57" s="40">
        <f t="shared" si="32"/>
        <v>900000</v>
      </c>
      <c r="L57" s="40">
        <f t="shared" si="32"/>
        <v>900000</v>
      </c>
      <c r="M57" s="40">
        <f t="shared" si="32"/>
        <v>900000</v>
      </c>
      <c r="N57" s="40">
        <f t="shared" si="32"/>
        <v>900000</v>
      </c>
      <c r="O57" s="40">
        <f t="shared" si="32"/>
        <v>900000</v>
      </c>
      <c r="P57" s="40">
        <f t="shared" si="32"/>
        <v>900000</v>
      </c>
      <c r="Q57" s="40">
        <f t="shared" si="32"/>
        <v>900000</v>
      </c>
      <c r="R57" s="40">
        <f t="shared" si="32"/>
        <v>900000</v>
      </c>
      <c r="S57" s="40">
        <f t="shared" si="32"/>
        <v>900000</v>
      </c>
      <c r="T57" s="40">
        <f t="shared" si="32"/>
        <v>900000</v>
      </c>
      <c r="U57" s="40">
        <f t="shared" si="32"/>
        <v>900000</v>
      </c>
      <c r="V57" s="46"/>
    </row>
    <row r="58" spans="1:22" ht="21" customHeight="1" x14ac:dyDescent="0.25">
      <c r="A58" s="36"/>
      <c r="B58" s="154" t="s">
        <v>307</v>
      </c>
      <c r="C58" s="37" t="s">
        <v>298</v>
      </c>
      <c r="D58" s="40"/>
      <c r="E58" s="40"/>
      <c r="F58" s="40">
        <f>F18*0.9</f>
        <v>1872000</v>
      </c>
      <c r="G58" s="40">
        <f>F58</f>
        <v>1872000</v>
      </c>
      <c r="H58" s="40">
        <f>G58</f>
        <v>1872000</v>
      </c>
      <c r="I58" s="40">
        <f t="shared" ref="I58:K59" si="40">H58</f>
        <v>1872000</v>
      </c>
      <c r="J58" s="40">
        <f t="shared" si="40"/>
        <v>1872000</v>
      </c>
      <c r="K58" s="40">
        <f t="shared" si="32"/>
        <v>1872000</v>
      </c>
      <c r="L58" s="40">
        <f t="shared" si="32"/>
        <v>1872000</v>
      </c>
      <c r="M58" s="40">
        <f t="shared" si="32"/>
        <v>1872000</v>
      </c>
      <c r="N58" s="40">
        <f t="shared" si="32"/>
        <v>1872000</v>
      </c>
      <c r="O58" s="40">
        <f t="shared" si="32"/>
        <v>1872000</v>
      </c>
      <c r="P58" s="40">
        <f t="shared" si="32"/>
        <v>1872000</v>
      </c>
      <c r="Q58" s="40">
        <f t="shared" si="32"/>
        <v>1872000</v>
      </c>
      <c r="R58" s="40">
        <f t="shared" si="32"/>
        <v>1872000</v>
      </c>
      <c r="S58" s="40">
        <f t="shared" si="32"/>
        <v>1872000</v>
      </c>
      <c r="T58" s="40">
        <f t="shared" si="32"/>
        <v>1872000</v>
      </c>
      <c r="U58" s="40">
        <f t="shared" si="32"/>
        <v>1872000</v>
      </c>
      <c r="V58" s="46"/>
    </row>
    <row r="59" spans="1:22" x14ac:dyDescent="0.25">
      <c r="A59" s="36"/>
      <c r="B59" s="154" t="s">
        <v>308</v>
      </c>
      <c r="C59" s="37" t="s">
        <v>298</v>
      </c>
      <c r="D59" s="40">
        <v>1</v>
      </c>
      <c r="E59" s="40">
        <f>E19*0.9</f>
        <v>0</v>
      </c>
      <c r="F59" s="40">
        <f>F19*0.9</f>
        <v>495000</v>
      </c>
      <c r="G59" s="40">
        <f>G19*0.9</f>
        <v>495000</v>
      </c>
      <c r="H59" s="40">
        <f>G59</f>
        <v>495000</v>
      </c>
      <c r="I59" s="40">
        <f t="shared" si="40"/>
        <v>495000</v>
      </c>
      <c r="J59" s="40">
        <f t="shared" si="40"/>
        <v>495000</v>
      </c>
      <c r="K59" s="40">
        <f t="shared" si="40"/>
        <v>495000</v>
      </c>
      <c r="L59" s="40">
        <f t="shared" si="32"/>
        <v>495000</v>
      </c>
      <c r="M59" s="40">
        <f t="shared" si="32"/>
        <v>495000</v>
      </c>
      <c r="N59" s="40">
        <f t="shared" si="32"/>
        <v>495000</v>
      </c>
      <c r="O59" s="40">
        <f t="shared" si="32"/>
        <v>495000</v>
      </c>
      <c r="P59" s="40">
        <f t="shared" si="32"/>
        <v>495000</v>
      </c>
      <c r="Q59" s="40">
        <f t="shared" si="32"/>
        <v>495000</v>
      </c>
      <c r="R59" s="40">
        <f t="shared" si="32"/>
        <v>495000</v>
      </c>
      <c r="S59" s="40">
        <f t="shared" si="32"/>
        <v>495000</v>
      </c>
      <c r="T59" s="40">
        <f t="shared" si="32"/>
        <v>495000</v>
      </c>
      <c r="U59" s="40">
        <f t="shared" si="32"/>
        <v>495000</v>
      </c>
    </row>
    <row r="60" spans="1:22" x14ac:dyDescent="0.25">
      <c r="A60" s="36"/>
      <c r="B60" s="38" t="s">
        <v>44</v>
      </c>
      <c r="C60" s="37"/>
      <c r="D60" s="40"/>
      <c r="E60" s="40"/>
      <c r="F60" s="39">
        <f t="shared" ref="F60:U60" si="41">SUM(F55:F59)</f>
        <v>4897700</v>
      </c>
      <c r="G60" s="39">
        <f t="shared" si="41"/>
        <v>4897700</v>
      </c>
      <c r="H60" s="39">
        <f t="shared" si="41"/>
        <v>4897700</v>
      </c>
      <c r="I60" s="39">
        <f t="shared" si="41"/>
        <v>4897700</v>
      </c>
      <c r="J60" s="39">
        <f t="shared" si="41"/>
        <v>4897700</v>
      </c>
      <c r="K60" s="39">
        <f t="shared" si="41"/>
        <v>4897700</v>
      </c>
      <c r="L60" s="39">
        <f t="shared" si="41"/>
        <v>4897700</v>
      </c>
      <c r="M60" s="39">
        <f t="shared" si="41"/>
        <v>4897700</v>
      </c>
      <c r="N60" s="39">
        <f t="shared" si="41"/>
        <v>4897700</v>
      </c>
      <c r="O60" s="39">
        <f t="shared" si="41"/>
        <v>4897700</v>
      </c>
      <c r="P60" s="39">
        <f t="shared" si="41"/>
        <v>4897700</v>
      </c>
      <c r="Q60" s="39">
        <f t="shared" si="41"/>
        <v>4897700</v>
      </c>
      <c r="R60" s="39">
        <f t="shared" si="41"/>
        <v>4897700</v>
      </c>
      <c r="S60" s="39">
        <f t="shared" si="41"/>
        <v>4897700</v>
      </c>
      <c r="T60" s="39">
        <f t="shared" si="41"/>
        <v>4897700</v>
      </c>
      <c r="U60" s="39">
        <f t="shared" si="41"/>
        <v>4892350</v>
      </c>
    </row>
    <row r="61" spans="1:22" x14ac:dyDescent="0.25">
      <c r="A61" s="36"/>
      <c r="B61" s="47"/>
      <c r="C61" s="37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</row>
    <row r="62" spans="1:22" x14ac:dyDescent="0.25">
      <c r="A62" s="36"/>
      <c r="B62" s="38" t="s">
        <v>45</v>
      </c>
      <c r="C62" s="37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</row>
    <row r="63" spans="1:22" x14ac:dyDescent="0.25">
      <c r="A63" s="36"/>
      <c r="B63" s="37" t="s">
        <v>46</v>
      </c>
      <c r="C63" s="37"/>
      <c r="D63" s="40"/>
      <c r="E63" s="40"/>
      <c r="F63" s="40">
        <f>E23</f>
        <v>4000</v>
      </c>
      <c r="G63" s="40">
        <f>F63</f>
        <v>4000</v>
      </c>
      <c r="H63" s="40">
        <f t="shared" ref="H63:U63" si="42">G63</f>
        <v>4000</v>
      </c>
      <c r="I63" s="40">
        <f t="shared" si="42"/>
        <v>4000</v>
      </c>
      <c r="J63" s="40">
        <f t="shared" si="42"/>
        <v>4000</v>
      </c>
      <c r="K63" s="40">
        <f t="shared" si="42"/>
        <v>4000</v>
      </c>
      <c r="L63" s="40">
        <f t="shared" si="42"/>
        <v>4000</v>
      </c>
      <c r="M63" s="40">
        <f t="shared" si="42"/>
        <v>4000</v>
      </c>
      <c r="N63" s="40">
        <f t="shared" si="42"/>
        <v>4000</v>
      </c>
      <c r="O63" s="40">
        <f t="shared" si="42"/>
        <v>4000</v>
      </c>
      <c r="P63" s="40">
        <f t="shared" si="42"/>
        <v>4000</v>
      </c>
      <c r="Q63" s="40">
        <f t="shared" si="42"/>
        <v>4000</v>
      </c>
      <c r="R63" s="40">
        <f t="shared" si="42"/>
        <v>4000</v>
      </c>
      <c r="S63" s="40">
        <f t="shared" si="42"/>
        <v>4000</v>
      </c>
      <c r="T63" s="40">
        <f t="shared" si="42"/>
        <v>4000</v>
      </c>
      <c r="U63" s="40">
        <f t="shared" si="42"/>
        <v>4000</v>
      </c>
      <c r="V63" s="48">
        <f>SUM(H63:U63)</f>
        <v>56000</v>
      </c>
    </row>
    <row r="64" spans="1:22" x14ac:dyDescent="0.25">
      <c r="A64" s="36"/>
      <c r="B64" s="38" t="s">
        <v>48</v>
      </c>
      <c r="C64" s="37"/>
      <c r="D64" s="40"/>
      <c r="E64" s="40"/>
      <c r="F64" s="39">
        <f>F24*0.9</f>
        <v>9639</v>
      </c>
      <c r="G64" s="39">
        <f>F64</f>
        <v>9639</v>
      </c>
      <c r="H64" s="39">
        <f t="shared" ref="H64" si="43">G64</f>
        <v>9639</v>
      </c>
      <c r="I64" s="39">
        <f t="shared" ref="I64:U64" si="44">H64</f>
        <v>9639</v>
      </c>
      <c r="J64" s="39">
        <f t="shared" si="44"/>
        <v>9639</v>
      </c>
      <c r="K64" s="39">
        <f t="shared" si="44"/>
        <v>9639</v>
      </c>
      <c r="L64" s="39">
        <f t="shared" si="44"/>
        <v>9639</v>
      </c>
      <c r="M64" s="39">
        <f t="shared" si="44"/>
        <v>9639</v>
      </c>
      <c r="N64" s="39">
        <f t="shared" si="44"/>
        <v>9639</v>
      </c>
      <c r="O64" s="39">
        <f t="shared" si="44"/>
        <v>9639</v>
      </c>
      <c r="P64" s="39">
        <f t="shared" si="44"/>
        <v>9639</v>
      </c>
      <c r="Q64" s="39">
        <f t="shared" si="44"/>
        <v>9639</v>
      </c>
      <c r="R64" s="39">
        <f t="shared" si="44"/>
        <v>9639</v>
      </c>
      <c r="S64" s="39">
        <f t="shared" si="44"/>
        <v>9639</v>
      </c>
      <c r="T64" s="39">
        <f t="shared" si="44"/>
        <v>9639</v>
      </c>
      <c r="U64" s="39">
        <f t="shared" si="44"/>
        <v>9639</v>
      </c>
    </row>
    <row r="65" spans="1:21" x14ac:dyDescent="0.25">
      <c r="A65" s="36"/>
      <c r="B65" s="38" t="s">
        <v>49</v>
      </c>
      <c r="C65" s="37"/>
      <c r="D65" s="40"/>
      <c r="E65" s="40"/>
      <c r="F65" s="39">
        <f t="shared" ref="F65:U65" si="45">F52+F60+F64</f>
        <v>5096339</v>
      </c>
      <c r="G65" s="39">
        <f t="shared" si="45"/>
        <v>5096339</v>
      </c>
      <c r="H65" s="39">
        <f t="shared" si="45"/>
        <v>5096339</v>
      </c>
      <c r="I65" s="39">
        <f t="shared" si="45"/>
        <v>4907339</v>
      </c>
      <c r="J65" s="39">
        <f t="shared" si="45"/>
        <v>4907339</v>
      </c>
      <c r="K65" s="39">
        <f t="shared" si="45"/>
        <v>4907339</v>
      </c>
      <c r="L65" s="39">
        <f t="shared" si="45"/>
        <v>4907339</v>
      </c>
      <c r="M65" s="39">
        <f t="shared" si="45"/>
        <v>4907339</v>
      </c>
      <c r="N65" s="39">
        <f t="shared" si="45"/>
        <v>4907339</v>
      </c>
      <c r="O65" s="39">
        <f t="shared" si="45"/>
        <v>4907339</v>
      </c>
      <c r="P65" s="39">
        <f t="shared" si="45"/>
        <v>4907339</v>
      </c>
      <c r="Q65" s="39">
        <f t="shared" si="45"/>
        <v>4907339</v>
      </c>
      <c r="R65" s="39">
        <f t="shared" si="45"/>
        <v>4907339</v>
      </c>
      <c r="S65" s="39">
        <f t="shared" si="45"/>
        <v>4907339</v>
      </c>
      <c r="T65" s="39">
        <f t="shared" si="45"/>
        <v>4907339</v>
      </c>
      <c r="U65" s="39">
        <f t="shared" si="45"/>
        <v>4901989</v>
      </c>
    </row>
    <row r="66" spans="1:21" x14ac:dyDescent="0.25">
      <c r="A66" s="36"/>
      <c r="B66" s="38"/>
      <c r="C66" s="37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</row>
    <row r="67" spans="1:21" x14ac:dyDescent="0.25">
      <c r="A67" s="36"/>
      <c r="B67" s="38" t="s">
        <v>50</v>
      </c>
      <c r="C67" s="37" t="s">
        <v>300</v>
      </c>
      <c r="D67" s="40"/>
      <c r="E67" s="40"/>
      <c r="F67" s="40"/>
      <c r="G67" s="39"/>
      <c r="H67" s="39"/>
      <c r="I67" s="39">
        <f t="shared" ref="I67:U67" si="46">I46-I52-I60</f>
        <v>17649100</v>
      </c>
      <c r="J67" s="39">
        <f t="shared" si="46"/>
        <v>17649100</v>
      </c>
      <c r="K67" s="39">
        <f t="shared" si="46"/>
        <v>17649100</v>
      </c>
      <c r="L67" s="39">
        <f t="shared" si="46"/>
        <v>17649100</v>
      </c>
      <c r="M67" s="39">
        <f t="shared" si="46"/>
        <v>17649100</v>
      </c>
      <c r="N67" s="39">
        <f t="shared" si="46"/>
        <v>17649100</v>
      </c>
      <c r="O67" s="39">
        <f t="shared" si="46"/>
        <v>17649100</v>
      </c>
      <c r="P67" s="39">
        <f t="shared" si="46"/>
        <v>17649100</v>
      </c>
      <c r="Q67" s="39">
        <f t="shared" si="46"/>
        <v>17649100</v>
      </c>
      <c r="R67" s="39">
        <f t="shared" si="46"/>
        <v>17649100</v>
      </c>
      <c r="S67" s="39">
        <f t="shared" si="46"/>
        <v>17649100</v>
      </c>
      <c r="T67" s="39">
        <f t="shared" si="46"/>
        <v>17649100</v>
      </c>
      <c r="U67" s="39">
        <f t="shared" si="46"/>
        <v>17654450</v>
      </c>
    </row>
    <row r="68" spans="1:21" x14ac:dyDescent="0.25">
      <c r="A68" s="36"/>
      <c r="B68" s="38" t="s">
        <v>51</v>
      </c>
      <c r="C68" s="37" t="s">
        <v>300</v>
      </c>
      <c r="D68" s="40"/>
      <c r="E68" s="40"/>
      <c r="F68" s="40"/>
      <c r="G68" s="39">
        <f>H68</f>
        <v>17639461</v>
      </c>
      <c r="H68" s="39">
        <f>I68</f>
        <v>17639461</v>
      </c>
      <c r="I68" s="39">
        <f>I67-I64</f>
        <v>17639461</v>
      </c>
      <c r="J68" s="39">
        <f>-(J67-J64)</f>
        <v>-17639461</v>
      </c>
      <c r="K68" s="39">
        <f>K67-K64</f>
        <v>17639461</v>
      </c>
      <c r="L68" s="39">
        <f>-(L67-L64)</f>
        <v>-17639461</v>
      </c>
      <c r="M68" s="39">
        <f>-(M67-M64)</f>
        <v>-17639461</v>
      </c>
      <c r="N68" s="39">
        <f>-(N67-N64)</f>
        <v>-17639461</v>
      </c>
      <c r="O68" s="39">
        <f>N68</f>
        <v>-17639461</v>
      </c>
      <c r="P68" s="39">
        <f>O68</f>
        <v>-17639461</v>
      </c>
      <c r="Q68" s="39">
        <f t="shared" ref="Q68:U68" si="47">P68</f>
        <v>-17639461</v>
      </c>
      <c r="R68" s="39">
        <f t="shared" si="47"/>
        <v>-17639461</v>
      </c>
      <c r="S68" s="39">
        <f t="shared" si="47"/>
        <v>-17639461</v>
      </c>
      <c r="T68" s="39">
        <f t="shared" si="47"/>
        <v>-17639461</v>
      </c>
      <c r="U68" s="39">
        <f t="shared" si="47"/>
        <v>-17639461</v>
      </c>
    </row>
    <row r="69" spans="1:21" x14ac:dyDescent="0.25">
      <c r="A69" s="1"/>
      <c r="B69" s="140" t="s">
        <v>58</v>
      </c>
      <c r="C69" s="141"/>
      <c r="D69" s="141"/>
      <c r="E69" s="141"/>
      <c r="F69" s="142"/>
      <c r="G69" s="53">
        <f>IRR(G68:U68)</f>
        <v>0.16945185122815221</v>
      </c>
      <c r="H69" s="54"/>
      <c r="I69" s="54"/>
      <c r="J69" s="54"/>
      <c r="K69" s="54"/>
      <c r="L69" s="54"/>
      <c r="M69" s="54"/>
      <c r="N69" s="54"/>
      <c r="O69" s="54"/>
      <c r="P69" s="54"/>
    </row>
    <row r="70" spans="1:21" x14ac:dyDescent="0.25">
      <c r="A70" s="1"/>
      <c r="B70" s="140" t="s">
        <v>59</v>
      </c>
      <c r="C70" s="141"/>
      <c r="D70" s="141"/>
      <c r="E70" s="141"/>
      <c r="F70" s="142"/>
      <c r="G70" s="55">
        <f>-(NPV(0.1,G68:U68))</f>
        <v>24528250.474607754</v>
      </c>
      <c r="H70" s="54"/>
      <c r="I70" s="54"/>
      <c r="J70" s="54"/>
      <c r="K70" s="54"/>
      <c r="L70" s="54"/>
      <c r="M70" s="54"/>
      <c r="N70" s="54"/>
      <c r="O70" s="54"/>
      <c r="P70" s="54"/>
    </row>
    <row r="71" spans="1:21" x14ac:dyDescent="0.25">
      <c r="A71" s="1"/>
      <c r="B71" s="148"/>
      <c r="C71" s="148"/>
      <c r="D71" s="148"/>
      <c r="E71" s="148"/>
      <c r="F71" s="148"/>
      <c r="G71" s="56"/>
      <c r="H71" s="57"/>
      <c r="I71" s="57"/>
      <c r="J71" s="57"/>
      <c r="K71" s="57"/>
      <c r="L71" s="57"/>
      <c r="M71" s="57"/>
      <c r="N71" s="57"/>
      <c r="O71" s="57"/>
      <c r="P71" s="57"/>
    </row>
    <row r="72" spans="1:21" x14ac:dyDescent="0.25">
      <c r="A72" s="1"/>
      <c r="B72" s="148"/>
      <c r="C72" s="149"/>
      <c r="D72" s="149"/>
      <c r="E72" s="149"/>
      <c r="F72" s="149"/>
      <c r="G72" s="58"/>
      <c r="H72" s="57"/>
      <c r="I72" s="57"/>
      <c r="J72" s="57"/>
      <c r="K72" s="57"/>
      <c r="L72" s="57"/>
      <c r="M72" s="57"/>
      <c r="N72" s="57"/>
      <c r="O72" s="57"/>
      <c r="P72" s="57"/>
    </row>
    <row r="73" spans="1:21" x14ac:dyDescent="0.25">
      <c r="A73" s="1"/>
      <c r="B73" s="148"/>
      <c r="C73" s="149"/>
      <c r="D73" s="149"/>
      <c r="E73" s="149"/>
      <c r="F73" s="149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</row>
    <row r="74" spans="1:21" x14ac:dyDescent="0.25">
      <c r="A74" s="1"/>
      <c r="B74" s="146"/>
      <c r="C74" s="147"/>
      <c r="D74" s="147"/>
      <c r="E74" s="147"/>
      <c r="F74" s="147"/>
      <c r="G74" s="53"/>
      <c r="H74" s="57"/>
      <c r="I74" s="57"/>
      <c r="J74" s="57"/>
      <c r="K74" s="57"/>
      <c r="L74" s="57"/>
      <c r="M74" s="57"/>
      <c r="N74" s="57"/>
      <c r="O74" s="57"/>
      <c r="P74" s="57"/>
    </row>
    <row r="75" spans="1:21" x14ac:dyDescent="0.25">
      <c r="A75" s="1"/>
      <c r="B75" s="146"/>
      <c r="C75" s="147"/>
      <c r="D75" s="147"/>
      <c r="E75" s="147"/>
      <c r="F75" s="147"/>
      <c r="G75" s="55"/>
      <c r="H75" s="57"/>
      <c r="I75" s="57"/>
      <c r="J75" s="57"/>
      <c r="K75" s="57"/>
      <c r="L75" s="57"/>
      <c r="M75" s="57"/>
      <c r="N75" s="57"/>
      <c r="O75" s="57"/>
      <c r="P75" s="57"/>
    </row>
    <row r="79" spans="1:21" x14ac:dyDescent="0.25">
      <c r="B79" s="60"/>
    </row>
    <row r="80" spans="1:21" x14ac:dyDescent="0.25">
      <c r="B80" s="60"/>
    </row>
    <row r="81" spans="2:2" x14ac:dyDescent="0.25">
      <c r="B81" s="60"/>
    </row>
    <row r="82" spans="2:2" x14ac:dyDescent="0.25">
      <c r="B82" s="60"/>
    </row>
    <row r="83" spans="2:2" x14ac:dyDescent="0.25">
      <c r="B83" s="60"/>
    </row>
    <row r="84" spans="2:2" x14ac:dyDescent="0.25">
      <c r="B84" s="60"/>
    </row>
    <row r="85" spans="2:2" x14ac:dyDescent="0.25">
      <c r="B85" s="60"/>
    </row>
    <row r="86" spans="2:2" x14ac:dyDescent="0.25">
      <c r="B86" s="60"/>
    </row>
  </sheetData>
  <mergeCells count="20">
    <mergeCell ref="G42:P42"/>
    <mergeCell ref="B1:P1"/>
    <mergeCell ref="G2:P2"/>
    <mergeCell ref="D3:F3"/>
    <mergeCell ref="B29:F29"/>
    <mergeCell ref="B30:F30"/>
    <mergeCell ref="B31:F31"/>
    <mergeCell ref="B32:F32"/>
    <mergeCell ref="B33:F33"/>
    <mergeCell ref="B34:F34"/>
    <mergeCell ref="B35:F35"/>
    <mergeCell ref="B41:P41"/>
    <mergeCell ref="B74:F74"/>
    <mergeCell ref="B75:F75"/>
    <mergeCell ref="D43:F43"/>
    <mergeCell ref="B69:F69"/>
    <mergeCell ref="B70:F70"/>
    <mergeCell ref="B71:F71"/>
    <mergeCell ref="B72:F72"/>
    <mergeCell ref="B73:F7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FBB1A-833E-474D-A6A0-DF65F42F0F1D}">
  <dimension ref="A1:V65"/>
  <sheetViews>
    <sheetView tabSelected="1" topLeftCell="A6" workbookViewId="0">
      <selection activeCell="B27" sqref="B27"/>
    </sheetView>
  </sheetViews>
  <sheetFormatPr defaultColWidth="15.7109375" defaultRowHeight="15" x14ac:dyDescent="0.25"/>
  <cols>
    <col min="2" max="2" width="26.85546875" customWidth="1"/>
  </cols>
  <sheetData>
    <row r="1" spans="1:21" x14ac:dyDescent="0.25">
      <c r="A1" s="36"/>
      <c r="B1" s="143" t="s">
        <v>18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</row>
    <row r="2" spans="1:21" x14ac:dyDescent="0.25">
      <c r="A2" s="36"/>
      <c r="B2" s="37"/>
      <c r="C2" s="38" t="s">
        <v>19</v>
      </c>
      <c r="D2" s="39" t="s">
        <v>20</v>
      </c>
      <c r="E2" s="39" t="s">
        <v>21</v>
      </c>
      <c r="F2" s="39" t="s">
        <v>22</v>
      </c>
      <c r="G2" s="144" t="s">
        <v>23</v>
      </c>
      <c r="H2" s="145"/>
      <c r="I2" s="145"/>
      <c r="J2" s="145"/>
      <c r="K2" s="145"/>
      <c r="L2" s="145"/>
      <c r="M2" s="145"/>
      <c r="N2" s="145"/>
      <c r="O2" s="145"/>
      <c r="P2" s="145"/>
    </row>
    <row r="3" spans="1:21" x14ac:dyDescent="0.25">
      <c r="A3" s="36"/>
      <c r="B3" s="38" t="s">
        <v>24</v>
      </c>
      <c r="C3" s="37"/>
      <c r="D3" s="40"/>
      <c r="E3" s="40"/>
      <c r="F3" s="40"/>
      <c r="G3" s="40">
        <v>1</v>
      </c>
      <c r="H3" s="40">
        <f t="shared" ref="H3:P3" si="0">G3+1</f>
        <v>2</v>
      </c>
      <c r="I3" s="40">
        <f t="shared" si="0"/>
        <v>3</v>
      </c>
      <c r="J3" s="40">
        <f t="shared" si="0"/>
        <v>4</v>
      </c>
      <c r="K3" s="40">
        <f t="shared" si="0"/>
        <v>5</v>
      </c>
      <c r="L3" s="40">
        <f t="shared" si="0"/>
        <v>6</v>
      </c>
      <c r="M3" s="40">
        <f t="shared" si="0"/>
        <v>7</v>
      </c>
      <c r="N3" s="40">
        <f t="shared" si="0"/>
        <v>8</v>
      </c>
      <c r="O3" s="40">
        <f t="shared" si="0"/>
        <v>9</v>
      </c>
      <c r="P3" s="40">
        <f t="shared" si="0"/>
        <v>10</v>
      </c>
      <c r="Q3">
        <v>11</v>
      </c>
      <c r="R3">
        <v>12</v>
      </c>
      <c r="S3">
        <v>13</v>
      </c>
      <c r="T3">
        <v>14</v>
      </c>
      <c r="U3">
        <v>15</v>
      </c>
    </row>
    <row r="4" spans="1:21" ht="35.25" customHeight="1" x14ac:dyDescent="0.25">
      <c r="A4" s="36"/>
      <c r="B4" s="61" t="s">
        <v>60</v>
      </c>
      <c r="C4" s="37" t="s">
        <v>61</v>
      </c>
      <c r="D4" s="40">
        <v>0</v>
      </c>
      <c r="E4" s="40">
        <v>0</v>
      </c>
      <c r="F4" s="40">
        <f>D4*E4</f>
        <v>0</v>
      </c>
      <c r="G4" s="40"/>
      <c r="H4" s="40">
        <f>F4</f>
        <v>0</v>
      </c>
      <c r="I4" s="40">
        <f>F4</f>
        <v>0</v>
      </c>
      <c r="J4" s="40">
        <f>F4</f>
        <v>0</v>
      </c>
      <c r="K4" s="40">
        <f t="shared" ref="K4:U5" si="1">J4</f>
        <v>0</v>
      </c>
      <c r="L4" s="40">
        <f t="shared" si="1"/>
        <v>0</v>
      </c>
      <c r="M4" s="40">
        <f t="shared" si="1"/>
        <v>0</v>
      </c>
      <c r="N4" s="40">
        <f t="shared" si="1"/>
        <v>0</v>
      </c>
      <c r="O4" s="40">
        <f t="shared" si="1"/>
        <v>0</v>
      </c>
      <c r="P4" s="40">
        <f t="shared" si="1"/>
        <v>0</v>
      </c>
      <c r="Q4" s="40">
        <f t="shared" si="1"/>
        <v>0</v>
      </c>
      <c r="R4" s="40">
        <f t="shared" si="1"/>
        <v>0</v>
      </c>
      <c r="S4" s="40">
        <f t="shared" si="1"/>
        <v>0</v>
      </c>
      <c r="T4" s="40">
        <f t="shared" si="1"/>
        <v>0</v>
      </c>
      <c r="U4" s="40">
        <f t="shared" si="1"/>
        <v>0</v>
      </c>
    </row>
    <row r="5" spans="1:21" x14ac:dyDescent="0.25">
      <c r="A5" s="36"/>
      <c r="B5" s="62" t="s">
        <v>62</v>
      </c>
      <c r="C5" s="37" t="s">
        <v>63</v>
      </c>
      <c r="D5" s="40">
        <v>50</v>
      </c>
      <c r="E5" s="40">
        <v>1000</v>
      </c>
      <c r="F5" s="40">
        <f>D5*E5</f>
        <v>50000</v>
      </c>
      <c r="G5" s="40">
        <f>F5</f>
        <v>50000</v>
      </c>
      <c r="H5" s="40">
        <f>D5*E5</f>
        <v>50000</v>
      </c>
      <c r="I5" s="40">
        <f>D5*E5</f>
        <v>50000</v>
      </c>
      <c r="J5" s="40">
        <f>D5*E5</f>
        <v>50000</v>
      </c>
      <c r="K5" s="40">
        <f t="shared" si="1"/>
        <v>50000</v>
      </c>
      <c r="L5" s="40">
        <f t="shared" si="1"/>
        <v>50000</v>
      </c>
      <c r="M5" s="40">
        <f t="shared" si="1"/>
        <v>50000</v>
      </c>
      <c r="N5" s="40">
        <f t="shared" si="1"/>
        <v>50000</v>
      </c>
      <c r="O5" s="40">
        <f t="shared" si="1"/>
        <v>50000</v>
      </c>
      <c r="P5" s="40">
        <f t="shared" si="1"/>
        <v>50000</v>
      </c>
      <c r="Q5" s="40">
        <f t="shared" si="1"/>
        <v>50000</v>
      </c>
      <c r="R5" s="40">
        <f t="shared" si="1"/>
        <v>50000</v>
      </c>
      <c r="S5" s="40">
        <f t="shared" si="1"/>
        <v>50000</v>
      </c>
      <c r="T5" s="40">
        <f t="shared" si="1"/>
        <v>50000</v>
      </c>
      <c r="U5" s="40">
        <f t="shared" si="1"/>
        <v>50000</v>
      </c>
    </row>
    <row r="6" spans="1:21" x14ac:dyDescent="0.25">
      <c r="A6" s="36"/>
      <c r="B6" s="62" t="s">
        <v>64</v>
      </c>
      <c r="C6" s="37" t="s">
        <v>65</v>
      </c>
      <c r="D6" s="40">
        <v>2</v>
      </c>
      <c r="E6" s="40">
        <v>150000</v>
      </c>
      <c r="F6" s="40">
        <f>E6*D6</f>
        <v>300000</v>
      </c>
      <c r="G6" s="40"/>
      <c r="H6" s="40"/>
      <c r="I6" s="40"/>
      <c r="J6" s="40">
        <f>F6</f>
        <v>300000</v>
      </c>
      <c r="K6" s="40">
        <f>J6</f>
        <v>300000</v>
      </c>
      <c r="L6" s="40">
        <f>K6</f>
        <v>300000</v>
      </c>
      <c r="M6" s="40">
        <f>L6</f>
        <v>300000</v>
      </c>
      <c r="N6" s="40">
        <f t="shared" ref="N6:U6" si="2">J6</f>
        <v>300000</v>
      </c>
      <c r="O6" s="40">
        <f t="shared" si="2"/>
        <v>300000</v>
      </c>
      <c r="P6" s="40">
        <f t="shared" si="2"/>
        <v>300000</v>
      </c>
      <c r="Q6" s="40">
        <f t="shared" si="2"/>
        <v>300000</v>
      </c>
      <c r="R6" s="40">
        <f t="shared" si="2"/>
        <v>300000</v>
      </c>
      <c r="S6" s="40">
        <f t="shared" si="2"/>
        <v>300000</v>
      </c>
      <c r="T6" s="40">
        <f t="shared" si="2"/>
        <v>300000</v>
      </c>
      <c r="U6" s="40">
        <f t="shared" si="2"/>
        <v>300000</v>
      </c>
    </row>
    <row r="7" spans="1:21" x14ac:dyDescent="0.25">
      <c r="A7" s="36"/>
      <c r="B7" s="38" t="s">
        <v>30</v>
      </c>
      <c r="C7" s="37"/>
      <c r="D7" s="40"/>
      <c r="E7" s="40"/>
      <c r="F7" s="39">
        <f t="shared" ref="F7:U7" si="3">SUM(F4:F6)</f>
        <v>350000</v>
      </c>
      <c r="G7" s="39">
        <f t="shared" si="3"/>
        <v>50000</v>
      </c>
      <c r="H7" s="39">
        <f t="shared" si="3"/>
        <v>50000</v>
      </c>
      <c r="I7" s="39">
        <f t="shared" si="3"/>
        <v>50000</v>
      </c>
      <c r="J7" s="39">
        <f t="shared" si="3"/>
        <v>350000</v>
      </c>
      <c r="K7" s="39">
        <f t="shared" si="3"/>
        <v>350000</v>
      </c>
      <c r="L7" s="39">
        <f t="shared" si="3"/>
        <v>350000</v>
      </c>
      <c r="M7" s="39">
        <f t="shared" si="3"/>
        <v>350000</v>
      </c>
      <c r="N7" s="39">
        <f t="shared" si="3"/>
        <v>350000</v>
      </c>
      <c r="O7" s="39">
        <f t="shared" si="3"/>
        <v>350000</v>
      </c>
      <c r="P7" s="39">
        <f t="shared" si="3"/>
        <v>350000</v>
      </c>
      <c r="Q7" s="39">
        <f t="shared" si="3"/>
        <v>350000</v>
      </c>
      <c r="R7" s="39">
        <f t="shared" si="3"/>
        <v>350000</v>
      </c>
      <c r="S7" s="39">
        <f t="shared" si="3"/>
        <v>350000</v>
      </c>
      <c r="T7" s="39">
        <f t="shared" si="3"/>
        <v>350000</v>
      </c>
      <c r="U7" s="39">
        <f t="shared" si="3"/>
        <v>350000</v>
      </c>
    </row>
    <row r="8" spans="1:21" x14ac:dyDescent="0.25">
      <c r="A8" s="36"/>
      <c r="B8" s="37"/>
      <c r="C8" s="37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</row>
    <row r="9" spans="1:21" x14ac:dyDescent="0.25">
      <c r="A9" s="36"/>
      <c r="B9" s="43" t="s">
        <v>31</v>
      </c>
      <c r="C9" s="37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</row>
    <row r="10" spans="1:21" x14ac:dyDescent="0.25">
      <c r="A10" s="36"/>
      <c r="B10" s="38" t="s">
        <v>32</v>
      </c>
      <c r="C10" s="37"/>
      <c r="D10" s="40"/>
      <c r="E10" s="40"/>
      <c r="F10" s="44"/>
      <c r="G10" s="40"/>
      <c r="H10" s="40"/>
      <c r="I10" s="40"/>
      <c r="J10" s="40"/>
      <c r="K10" s="40"/>
      <c r="L10" s="40"/>
      <c r="M10" s="40"/>
      <c r="N10" s="40"/>
      <c r="O10" s="40"/>
      <c r="P10" s="40"/>
    </row>
    <row r="11" spans="1:21" x14ac:dyDescent="0.25">
      <c r="A11" s="36"/>
      <c r="B11" s="63" t="s">
        <v>66</v>
      </c>
      <c r="C11" s="37" t="s">
        <v>36</v>
      </c>
      <c r="D11" s="40">
        <v>2</v>
      </c>
      <c r="E11" s="40">
        <v>100000</v>
      </c>
      <c r="F11" s="40">
        <f>D11*E11</f>
        <v>200000</v>
      </c>
      <c r="G11" s="40">
        <f>D11*E11</f>
        <v>200000</v>
      </c>
      <c r="H11" s="40">
        <v>0</v>
      </c>
      <c r="I11" s="40">
        <v>0</v>
      </c>
      <c r="J11" s="40">
        <v>0</v>
      </c>
      <c r="K11" s="40"/>
      <c r="L11" s="40"/>
      <c r="M11" s="40"/>
      <c r="N11" s="40"/>
      <c r="O11" s="40"/>
      <c r="P11" s="40">
        <f>K11</f>
        <v>0</v>
      </c>
      <c r="U11" s="48"/>
    </row>
    <row r="12" spans="1:21" x14ac:dyDescent="0.25">
      <c r="A12" s="36"/>
      <c r="B12" s="63" t="s">
        <v>67</v>
      </c>
      <c r="C12" s="37" t="s">
        <v>36</v>
      </c>
      <c r="D12" s="40">
        <v>2</v>
      </c>
      <c r="E12" s="40">
        <v>80000</v>
      </c>
      <c r="F12" s="40">
        <f t="shared" ref="F12:F21" si="4">D12*E12</f>
        <v>160000</v>
      </c>
      <c r="G12" s="40">
        <f>D12*E12</f>
        <v>160000</v>
      </c>
      <c r="H12" s="40">
        <v>0</v>
      </c>
      <c r="I12" s="40">
        <v>0</v>
      </c>
      <c r="J12" s="40">
        <v>0</v>
      </c>
      <c r="K12" s="40">
        <v>0</v>
      </c>
      <c r="L12" s="40"/>
      <c r="M12" s="40"/>
      <c r="N12" s="40"/>
      <c r="O12" s="40"/>
      <c r="P12" s="40"/>
    </row>
    <row r="13" spans="1:21" x14ac:dyDescent="0.25">
      <c r="A13" s="36"/>
      <c r="B13" s="38" t="s">
        <v>37</v>
      </c>
      <c r="C13" s="37"/>
      <c r="D13" s="40"/>
      <c r="E13" s="40"/>
      <c r="F13" s="39">
        <f t="shared" ref="F13:U13" si="5">SUM(F11:F12)</f>
        <v>360000</v>
      </c>
      <c r="G13" s="39">
        <f t="shared" si="5"/>
        <v>360000</v>
      </c>
      <c r="H13" s="39">
        <f t="shared" si="5"/>
        <v>0</v>
      </c>
      <c r="I13" s="39">
        <f t="shared" si="5"/>
        <v>0</v>
      </c>
      <c r="J13" s="39">
        <f t="shared" si="5"/>
        <v>0</v>
      </c>
      <c r="K13" s="39">
        <f t="shared" si="5"/>
        <v>0</v>
      </c>
      <c r="L13" s="39">
        <f t="shared" si="5"/>
        <v>0</v>
      </c>
      <c r="M13" s="39">
        <f t="shared" si="5"/>
        <v>0</v>
      </c>
      <c r="N13" s="39">
        <f t="shared" si="5"/>
        <v>0</v>
      </c>
      <c r="O13" s="39">
        <f t="shared" si="5"/>
        <v>0</v>
      </c>
      <c r="P13" s="39">
        <f t="shared" si="5"/>
        <v>0</v>
      </c>
      <c r="Q13" s="39">
        <f t="shared" si="5"/>
        <v>0</v>
      </c>
      <c r="R13" s="39">
        <f t="shared" si="5"/>
        <v>0</v>
      </c>
      <c r="S13" s="39">
        <f t="shared" si="5"/>
        <v>0</v>
      </c>
      <c r="T13" s="39">
        <f t="shared" si="5"/>
        <v>0</v>
      </c>
      <c r="U13" s="39">
        <f t="shared" si="5"/>
        <v>0</v>
      </c>
    </row>
    <row r="14" spans="1:21" x14ac:dyDescent="0.25">
      <c r="A14" s="36"/>
      <c r="B14" s="37"/>
      <c r="C14" s="37"/>
      <c r="D14" s="40"/>
      <c r="E14" s="40"/>
      <c r="F14" s="40">
        <f t="shared" si="4"/>
        <v>0</v>
      </c>
      <c r="G14" s="40"/>
      <c r="H14" s="40"/>
      <c r="I14" s="40"/>
      <c r="J14" s="40"/>
      <c r="K14" s="40"/>
      <c r="L14" s="40"/>
      <c r="M14" s="40"/>
      <c r="N14" s="40"/>
      <c r="O14" s="40"/>
      <c r="P14" s="40"/>
    </row>
    <row r="15" spans="1:21" x14ac:dyDescent="0.25">
      <c r="A15" s="36"/>
      <c r="B15" s="38" t="s">
        <v>38</v>
      </c>
      <c r="C15" s="37"/>
      <c r="D15" s="40"/>
      <c r="E15" s="40"/>
      <c r="F15" s="40">
        <f t="shared" si="4"/>
        <v>0</v>
      </c>
      <c r="G15" s="40"/>
      <c r="H15" s="40"/>
      <c r="I15" s="40"/>
      <c r="J15" s="40"/>
      <c r="K15" s="40"/>
      <c r="L15" s="40"/>
      <c r="M15" s="40"/>
      <c r="N15" s="40"/>
      <c r="O15" s="40"/>
      <c r="P15" s="40"/>
    </row>
    <row r="16" spans="1:21" x14ac:dyDescent="0.25">
      <c r="B16" s="64" t="s">
        <v>68</v>
      </c>
      <c r="C16" s="37" t="s">
        <v>40</v>
      </c>
      <c r="D16" s="40">
        <v>2</v>
      </c>
      <c r="E16" s="40">
        <v>10000</v>
      </c>
      <c r="F16" s="40">
        <f>D16*E16</f>
        <v>20000</v>
      </c>
      <c r="G16" s="40">
        <f>F16</f>
        <v>20000</v>
      </c>
      <c r="H16" s="40">
        <f>F16</f>
        <v>20000</v>
      </c>
      <c r="I16" s="40">
        <f t="shared" ref="I16:U21" si="6">H16</f>
        <v>20000</v>
      </c>
      <c r="J16" s="40">
        <f t="shared" si="6"/>
        <v>20000</v>
      </c>
      <c r="K16" s="40">
        <f t="shared" si="6"/>
        <v>20000</v>
      </c>
      <c r="L16" s="40">
        <f t="shared" si="6"/>
        <v>20000</v>
      </c>
      <c r="M16" s="40">
        <f t="shared" si="6"/>
        <v>20000</v>
      </c>
      <c r="N16" s="40">
        <f t="shared" si="6"/>
        <v>20000</v>
      </c>
      <c r="O16" s="40">
        <f t="shared" si="6"/>
        <v>20000</v>
      </c>
      <c r="P16" s="40">
        <f t="shared" si="6"/>
        <v>20000</v>
      </c>
      <c r="Q16" s="40">
        <f t="shared" si="6"/>
        <v>20000</v>
      </c>
      <c r="R16" s="40">
        <f t="shared" si="6"/>
        <v>20000</v>
      </c>
      <c r="S16" s="40">
        <f t="shared" si="6"/>
        <v>20000</v>
      </c>
      <c r="T16" s="40">
        <f t="shared" si="6"/>
        <v>20000</v>
      </c>
      <c r="U16" s="40">
        <f t="shared" si="6"/>
        <v>20000</v>
      </c>
    </row>
    <row r="17" spans="1:22" x14ac:dyDescent="0.25">
      <c r="A17" s="36"/>
      <c r="B17" s="45" t="s">
        <v>41</v>
      </c>
      <c r="C17" s="37" t="s">
        <v>40</v>
      </c>
      <c r="D17" s="40">
        <v>0</v>
      </c>
      <c r="E17" s="40">
        <v>1000</v>
      </c>
      <c r="F17" s="40">
        <f>15*E17</f>
        <v>15000</v>
      </c>
      <c r="G17" s="40">
        <f>F17</f>
        <v>15000</v>
      </c>
      <c r="H17" s="40">
        <f>F17</f>
        <v>15000</v>
      </c>
      <c r="I17" s="40">
        <f>H17</f>
        <v>15000</v>
      </c>
      <c r="J17" s="40">
        <f>I17</f>
        <v>15000</v>
      </c>
      <c r="K17" s="40">
        <f t="shared" si="6"/>
        <v>15000</v>
      </c>
      <c r="L17" s="40">
        <f t="shared" si="6"/>
        <v>15000</v>
      </c>
      <c r="M17" s="40">
        <f t="shared" si="6"/>
        <v>15000</v>
      </c>
      <c r="N17" s="40">
        <f t="shared" si="6"/>
        <v>15000</v>
      </c>
      <c r="O17" s="40">
        <f t="shared" si="6"/>
        <v>15000</v>
      </c>
      <c r="P17" s="40">
        <f t="shared" si="6"/>
        <v>15000</v>
      </c>
      <c r="Q17" s="40">
        <f t="shared" si="6"/>
        <v>15000</v>
      </c>
      <c r="R17" s="40">
        <f t="shared" si="6"/>
        <v>15000</v>
      </c>
      <c r="S17" s="40">
        <f t="shared" si="6"/>
        <v>15000</v>
      </c>
      <c r="T17" s="40">
        <f t="shared" si="6"/>
        <v>15000</v>
      </c>
      <c r="U17" s="40">
        <f t="shared" si="6"/>
        <v>15000</v>
      </c>
    </row>
    <row r="18" spans="1:22" x14ac:dyDescent="0.25">
      <c r="A18" s="36"/>
      <c r="B18" s="45" t="s">
        <v>42</v>
      </c>
      <c r="C18" s="37" t="s">
        <v>40</v>
      </c>
      <c r="D18" s="40">
        <v>2</v>
      </c>
      <c r="E18" s="40">
        <v>10000</v>
      </c>
      <c r="F18" s="40">
        <v>3000</v>
      </c>
      <c r="G18" s="40">
        <f>F18</f>
        <v>3000</v>
      </c>
      <c r="H18" s="40">
        <f>D18*E18*1</f>
        <v>20000</v>
      </c>
      <c r="I18" s="40">
        <f>D18*E18*1</f>
        <v>20000</v>
      </c>
      <c r="J18" s="40">
        <f>D18*E18</f>
        <v>20000</v>
      </c>
      <c r="K18" s="40">
        <f t="shared" si="6"/>
        <v>20000</v>
      </c>
      <c r="L18" s="40">
        <f t="shared" si="6"/>
        <v>20000</v>
      </c>
      <c r="M18" s="40">
        <f t="shared" si="6"/>
        <v>20000</v>
      </c>
      <c r="N18" s="40">
        <f t="shared" si="6"/>
        <v>20000</v>
      </c>
      <c r="O18" s="40">
        <f t="shared" si="6"/>
        <v>20000</v>
      </c>
      <c r="P18" s="40">
        <f t="shared" si="6"/>
        <v>20000</v>
      </c>
      <c r="Q18" s="40">
        <f t="shared" si="6"/>
        <v>20000</v>
      </c>
      <c r="R18" s="40">
        <f t="shared" si="6"/>
        <v>20000</v>
      </c>
      <c r="S18" s="40">
        <f t="shared" si="6"/>
        <v>20000</v>
      </c>
      <c r="T18" s="40">
        <f t="shared" si="6"/>
        <v>20000</v>
      </c>
      <c r="U18" s="40">
        <f t="shared" si="6"/>
        <v>20000</v>
      </c>
      <c r="V18" s="46"/>
    </row>
    <row r="19" spans="1:22" x14ac:dyDescent="0.25">
      <c r="A19" s="36"/>
      <c r="B19" s="45" t="s">
        <v>235</v>
      </c>
      <c r="C19" s="37" t="s">
        <v>40</v>
      </c>
      <c r="D19" s="40">
        <v>2</v>
      </c>
      <c r="E19" s="40">
        <v>300</v>
      </c>
      <c r="F19" s="40">
        <f t="shared" si="4"/>
        <v>600</v>
      </c>
      <c r="G19" s="40">
        <f>F19</f>
        <v>600</v>
      </c>
      <c r="H19" s="40">
        <f>F19</f>
        <v>600</v>
      </c>
      <c r="I19" s="40">
        <f t="shared" ref="I19:P21" si="7">H19</f>
        <v>600</v>
      </c>
      <c r="J19" s="40">
        <f t="shared" si="7"/>
        <v>600</v>
      </c>
      <c r="K19" s="40">
        <f t="shared" si="7"/>
        <v>600</v>
      </c>
      <c r="L19" s="40">
        <f t="shared" si="7"/>
        <v>600</v>
      </c>
      <c r="M19" s="40">
        <f t="shared" si="7"/>
        <v>600</v>
      </c>
      <c r="N19" s="40">
        <f t="shared" si="7"/>
        <v>600</v>
      </c>
      <c r="O19" s="40">
        <f t="shared" si="7"/>
        <v>600</v>
      </c>
      <c r="P19" s="40">
        <f t="shared" si="7"/>
        <v>600</v>
      </c>
      <c r="Q19" s="40">
        <f t="shared" si="6"/>
        <v>600</v>
      </c>
      <c r="R19" s="40">
        <f t="shared" si="6"/>
        <v>600</v>
      </c>
      <c r="S19" s="40">
        <f t="shared" si="6"/>
        <v>600</v>
      </c>
      <c r="T19" s="40">
        <f t="shared" si="6"/>
        <v>600</v>
      </c>
      <c r="U19" s="40">
        <f t="shared" si="6"/>
        <v>600</v>
      </c>
      <c r="V19" s="46"/>
    </row>
    <row r="20" spans="1:22" x14ac:dyDescent="0.25">
      <c r="A20" s="36"/>
      <c r="B20" s="45" t="s">
        <v>69</v>
      </c>
      <c r="C20" s="37" t="s">
        <v>40</v>
      </c>
      <c r="D20" s="40">
        <v>2</v>
      </c>
      <c r="E20" s="40">
        <v>8000</v>
      </c>
      <c r="F20" s="40">
        <f t="shared" si="4"/>
        <v>16000</v>
      </c>
      <c r="G20" s="40">
        <f t="shared" ref="G20:U21" si="8">F20</f>
        <v>16000</v>
      </c>
      <c r="H20" s="40">
        <f t="shared" si="8"/>
        <v>16000</v>
      </c>
      <c r="I20" s="40">
        <f t="shared" si="8"/>
        <v>16000</v>
      </c>
      <c r="J20" s="40">
        <f t="shared" si="8"/>
        <v>16000</v>
      </c>
      <c r="K20" s="40">
        <f t="shared" si="8"/>
        <v>16000</v>
      </c>
      <c r="L20" s="40">
        <f t="shared" si="8"/>
        <v>16000</v>
      </c>
      <c r="M20" s="40">
        <f t="shared" si="8"/>
        <v>16000</v>
      </c>
      <c r="N20" s="40">
        <f t="shared" si="8"/>
        <v>16000</v>
      </c>
      <c r="O20" s="40">
        <f t="shared" si="8"/>
        <v>16000</v>
      </c>
      <c r="P20" s="40">
        <f t="shared" si="8"/>
        <v>16000</v>
      </c>
      <c r="Q20" s="40">
        <f t="shared" si="8"/>
        <v>16000</v>
      </c>
      <c r="R20" s="40">
        <f t="shared" si="8"/>
        <v>16000</v>
      </c>
      <c r="S20" s="40">
        <f t="shared" si="8"/>
        <v>16000</v>
      </c>
      <c r="T20" s="40">
        <f t="shared" si="8"/>
        <v>16000</v>
      </c>
      <c r="U20" s="40">
        <f t="shared" si="8"/>
        <v>16000</v>
      </c>
      <c r="V20" s="46"/>
    </row>
    <row r="21" spans="1:22" x14ac:dyDescent="0.25">
      <c r="A21" s="36"/>
      <c r="B21" s="45" t="s">
        <v>234</v>
      </c>
      <c r="C21" s="37" t="s">
        <v>70</v>
      </c>
      <c r="D21" s="40">
        <v>1</v>
      </c>
      <c r="E21" s="40">
        <v>15000</v>
      </c>
      <c r="F21" s="40">
        <f t="shared" si="4"/>
        <v>15000</v>
      </c>
      <c r="G21" s="40">
        <f t="shared" si="8"/>
        <v>15000</v>
      </c>
      <c r="H21" s="40">
        <f>F21</f>
        <v>15000</v>
      </c>
      <c r="I21" s="40">
        <f>F21</f>
        <v>15000</v>
      </c>
      <c r="J21" s="40">
        <f>F21</f>
        <v>15000</v>
      </c>
      <c r="K21" s="40">
        <f>J21</f>
        <v>15000</v>
      </c>
      <c r="L21" s="40">
        <f t="shared" si="7"/>
        <v>15000</v>
      </c>
      <c r="M21" s="40">
        <f t="shared" si="7"/>
        <v>15000</v>
      </c>
      <c r="N21" s="40">
        <f t="shared" si="7"/>
        <v>15000</v>
      </c>
      <c r="O21" s="40">
        <f t="shared" si="7"/>
        <v>15000</v>
      </c>
      <c r="P21" s="40">
        <f t="shared" si="7"/>
        <v>15000</v>
      </c>
      <c r="Q21" s="40">
        <f t="shared" si="6"/>
        <v>15000</v>
      </c>
      <c r="R21" s="40">
        <f t="shared" si="6"/>
        <v>15000</v>
      </c>
      <c r="S21" s="40">
        <f t="shared" si="6"/>
        <v>15000</v>
      </c>
      <c r="T21" s="40">
        <f t="shared" si="6"/>
        <v>15000</v>
      </c>
      <c r="U21" s="40">
        <f t="shared" si="6"/>
        <v>15000</v>
      </c>
    </row>
    <row r="22" spans="1:22" x14ac:dyDescent="0.25">
      <c r="A22" s="36"/>
      <c r="B22" s="38" t="s">
        <v>44</v>
      </c>
      <c r="C22" s="37"/>
      <c r="D22" s="40"/>
      <c r="E22" s="40"/>
      <c r="F22" s="39">
        <f>SUM(F16:F21)</f>
        <v>69600</v>
      </c>
      <c r="G22" s="39">
        <f t="shared" ref="G22:U22" si="9">SUM(G16:G21)</f>
        <v>69600</v>
      </c>
      <c r="H22" s="39">
        <f t="shared" si="9"/>
        <v>86600</v>
      </c>
      <c r="I22" s="39">
        <f t="shared" si="9"/>
        <v>86600</v>
      </c>
      <c r="J22" s="39">
        <f t="shared" si="9"/>
        <v>86600</v>
      </c>
      <c r="K22" s="39">
        <f t="shared" si="9"/>
        <v>86600</v>
      </c>
      <c r="L22" s="39">
        <f t="shared" si="9"/>
        <v>86600</v>
      </c>
      <c r="M22" s="39">
        <f t="shared" si="9"/>
        <v>86600</v>
      </c>
      <c r="N22" s="39">
        <f t="shared" si="9"/>
        <v>86600</v>
      </c>
      <c r="O22" s="39">
        <f t="shared" si="9"/>
        <v>86600</v>
      </c>
      <c r="P22" s="39">
        <f t="shared" si="9"/>
        <v>86600</v>
      </c>
      <c r="Q22" s="39">
        <f t="shared" si="9"/>
        <v>86600</v>
      </c>
      <c r="R22" s="39">
        <f t="shared" si="9"/>
        <v>86600</v>
      </c>
      <c r="S22" s="39">
        <f t="shared" si="9"/>
        <v>86600</v>
      </c>
      <c r="T22" s="39">
        <f t="shared" si="9"/>
        <v>86600</v>
      </c>
      <c r="U22" s="39">
        <f t="shared" si="9"/>
        <v>86600</v>
      </c>
    </row>
    <row r="23" spans="1:22" x14ac:dyDescent="0.25">
      <c r="A23" s="36"/>
      <c r="B23" s="47"/>
      <c r="C23" s="37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</row>
    <row r="24" spans="1:22" x14ac:dyDescent="0.25">
      <c r="A24" s="36"/>
      <c r="B24" s="38" t="s">
        <v>45</v>
      </c>
      <c r="C24" s="37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</row>
    <row r="25" spans="1:22" x14ac:dyDescent="0.25">
      <c r="A25" s="36"/>
      <c r="B25" s="37" t="s">
        <v>46</v>
      </c>
      <c r="C25" s="37" t="s">
        <v>47</v>
      </c>
      <c r="D25" s="40">
        <v>1</v>
      </c>
      <c r="E25" s="40">
        <f>E12/15</f>
        <v>5333.333333333333</v>
      </c>
      <c r="F25" s="40">
        <f>D25*E25</f>
        <v>5333.333333333333</v>
      </c>
      <c r="G25" s="40">
        <f>F25</f>
        <v>5333.333333333333</v>
      </c>
      <c r="H25" s="40">
        <f>D25*E25</f>
        <v>5333.333333333333</v>
      </c>
      <c r="I25" s="40">
        <f t="shared" ref="I25:U25" si="10">H25</f>
        <v>5333.333333333333</v>
      </c>
      <c r="J25" s="40">
        <f t="shared" si="10"/>
        <v>5333.333333333333</v>
      </c>
      <c r="K25" s="40">
        <f t="shared" si="10"/>
        <v>5333.333333333333</v>
      </c>
      <c r="L25" s="40">
        <f t="shared" si="10"/>
        <v>5333.333333333333</v>
      </c>
      <c r="M25" s="40">
        <f t="shared" si="10"/>
        <v>5333.333333333333</v>
      </c>
      <c r="N25" s="40">
        <f t="shared" si="10"/>
        <v>5333.333333333333</v>
      </c>
      <c r="O25" s="40">
        <f t="shared" si="10"/>
        <v>5333.333333333333</v>
      </c>
      <c r="P25" s="40">
        <f t="shared" si="10"/>
        <v>5333.333333333333</v>
      </c>
      <c r="Q25" s="40">
        <f t="shared" si="10"/>
        <v>5333.333333333333</v>
      </c>
      <c r="R25" s="40">
        <f t="shared" si="10"/>
        <v>5333.333333333333</v>
      </c>
      <c r="S25" s="40">
        <f t="shared" si="10"/>
        <v>5333.333333333333</v>
      </c>
      <c r="T25" s="40">
        <f t="shared" si="10"/>
        <v>5333.333333333333</v>
      </c>
      <c r="U25" s="40">
        <f t="shared" si="10"/>
        <v>5333.333333333333</v>
      </c>
      <c r="V25" s="48">
        <f>SUM(H25:U25)</f>
        <v>74666.666666666672</v>
      </c>
    </row>
    <row r="26" spans="1:22" x14ac:dyDescent="0.25">
      <c r="A26" s="36"/>
      <c r="B26" s="38" t="s">
        <v>48</v>
      </c>
      <c r="C26" s="37"/>
      <c r="D26" s="40"/>
      <c r="E26" s="40"/>
      <c r="F26" s="39">
        <f t="shared" ref="F26:U26" si="11">SUM(F25:F25)</f>
        <v>5333.333333333333</v>
      </c>
      <c r="G26" s="39">
        <f t="shared" si="11"/>
        <v>5333.333333333333</v>
      </c>
      <c r="H26" s="39">
        <f t="shared" si="11"/>
        <v>5333.333333333333</v>
      </c>
      <c r="I26" s="39">
        <f t="shared" si="11"/>
        <v>5333.333333333333</v>
      </c>
      <c r="J26" s="39">
        <f t="shared" si="11"/>
        <v>5333.333333333333</v>
      </c>
      <c r="K26" s="39">
        <f t="shared" si="11"/>
        <v>5333.333333333333</v>
      </c>
      <c r="L26" s="39">
        <f t="shared" si="11"/>
        <v>5333.333333333333</v>
      </c>
      <c r="M26" s="39">
        <f t="shared" si="11"/>
        <v>5333.333333333333</v>
      </c>
      <c r="N26" s="39">
        <f t="shared" si="11"/>
        <v>5333.333333333333</v>
      </c>
      <c r="O26" s="39">
        <f t="shared" si="11"/>
        <v>5333.333333333333</v>
      </c>
      <c r="P26" s="39">
        <f t="shared" si="11"/>
        <v>5333.333333333333</v>
      </c>
      <c r="Q26" s="39">
        <f t="shared" si="11"/>
        <v>5333.333333333333</v>
      </c>
      <c r="R26" s="39">
        <f t="shared" si="11"/>
        <v>5333.333333333333</v>
      </c>
      <c r="S26" s="39">
        <f t="shared" si="11"/>
        <v>5333.333333333333</v>
      </c>
      <c r="T26" s="39">
        <f t="shared" si="11"/>
        <v>5333.333333333333</v>
      </c>
      <c r="U26" s="39">
        <f t="shared" si="11"/>
        <v>5333.333333333333</v>
      </c>
    </row>
    <row r="27" spans="1:22" x14ac:dyDescent="0.25">
      <c r="A27" s="36"/>
      <c r="B27" s="38" t="s">
        <v>49</v>
      </c>
      <c r="C27" s="37"/>
      <c r="D27" s="40"/>
      <c r="E27" s="40"/>
      <c r="F27" s="39">
        <f t="shared" ref="F27:U27" si="12">F13+F22+F26</f>
        <v>434933.33333333331</v>
      </c>
      <c r="G27" s="39">
        <f t="shared" si="12"/>
        <v>434933.33333333331</v>
      </c>
      <c r="H27" s="39">
        <f t="shared" si="12"/>
        <v>91933.333333333328</v>
      </c>
      <c r="I27" s="39">
        <f t="shared" si="12"/>
        <v>91933.333333333328</v>
      </c>
      <c r="J27" s="39">
        <f t="shared" si="12"/>
        <v>91933.333333333328</v>
      </c>
      <c r="K27" s="39">
        <f t="shared" si="12"/>
        <v>91933.333333333328</v>
      </c>
      <c r="L27" s="39">
        <f t="shared" si="12"/>
        <v>91933.333333333328</v>
      </c>
      <c r="M27" s="39">
        <f t="shared" si="12"/>
        <v>91933.333333333328</v>
      </c>
      <c r="N27" s="39">
        <f t="shared" si="12"/>
        <v>91933.333333333328</v>
      </c>
      <c r="O27" s="39">
        <f t="shared" si="12"/>
        <v>91933.333333333328</v>
      </c>
      <c r="P27" s="39">
        <f t="shared" si="12"/>
        <v>91933.333333333328</v>
      </c>
      <c r="Q27" s="39">
        <f t="shared" si="12"/>
        <v>91933.333333333328</v>
      </c>
      <c r="R27" s="39">
        <f t="shared" si="12"/>
        <v>91933.333333333328</v>
      </c>
      <c r="S27" s="39">
        <f t="shared" si="12"/>
        <v>91933.333333333328</v>
      </c>
      <c r="T27" s="39">
        <f t="shared" si="12"/>
        <v>91933.333333333328</v>
      </c>
      <c r="U27" s="39">
        <f t="shared" si="12"/>
        <v>91933.333333333328</v>
      </c>
    </row>
    <row r="28" spans="1:22" x14ac:dyDescent="0.25">
      <c r="A28" s="36"/>
      <c r="B28" s="38"/>
      <c r="C28" s="37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</row>
    <row r="29" spans="1:22" x14ac:dyDescent="0.25">
      <c r="A29" s="36"/>
      <c r="B29" s="38" t="s">
        <v>50</v>
      </c>
      <c r="C29" s="37" t="s">
        <v>47</v>
      </c>
      <c r="D29" s="40"/>
      <c r="E29" s="40"/>
      <c r="F29" s="40"/>
      <c r="G29" s="39">
        <f t="shared" ref="G29:U29" si="13">G7-G13-G22</f>
        <v>-379600</v>
      </c>
      <c r="H29" s="39">
        <f t="shared" si="13"/>
        <v>-36600</v>
      </c>
      <c r="I29" s="39">
        <f t="shared" si="13"/>
        <v>-36600</v>
      </c>
      <c r="J29" s="39">
        <f t="shared" si="13"/>
        <v>263400</v>
      </c>
      <c r="K29" s="39">
        <f t="shared" si="13"/>
        <v>263400</v>
      </c>
      <c r="L29" s="39">
        <f t="shared" si="13"/>
        <v>263400</v>
      </c>
      <c r="M29" s="39">
        <f t="shared" si="13"/>
        <v>263400</v>
      </c>
      <c r="N29" s="39">
        <f t="shared" si="13"/>
        <v>263400</v>
      </c>
      <c r="O29" s="39">
        <f t="shared" si="13"/>
        <v>263400</v>
      </c>
      <c r="P29" s="39">
        <f t="shared" si="13"/>
        <v>263400</v>
      </c>
      <c r="Q29" s="39">
        <f t="shared" si="13"/>
        <v>263400</v>
      </c>
      <c r="R29" s="39">
        <f t="shared" si="13"/>
        <v>263400</v>
      </c>
      <c r="S29" s="39">
        <f t="shared" si="13"/>
        <v>263400</v>
      </c>
      <c r="T29" s="39">
        <f t="shared" si="13"/>
        <v>263400</v>
      </c>
      <c r="U29" s="39">
        <f t="shared" si="13"/>
        <v>263400</v>
      </c>
    </row>
    <row r="30" spans="1:22" x14ac:dyDescent="0.25">
      <c r="A30" s="36"/>
      <c r="B30" s="38" t="s">
        <v>71</v>
      </c>
      <c r="C30" s="37" t="s">
        <v>47</v>
      </c>
      <c r="D30" s="40"/>
      <c r="E30" s="40"/>
      <c r="F30" s="40"/>
      <c r="G30" s="39">
        <f>G29-G26</f>
        <v>-384933.33333333331</v>
      </c>
      <c r="H30" s="39">
        <f>H29-H26</f>
        <v>-41933.333333333336</v>
      </c>
      <c r="I30" s="39">
        <f>I29-I26</f>
        <v>-41933.333333333336</v>
      </c>
      <c r="J30" s="39">
        <f>J29-J26</f>
        <v>258066.66666666666</v>
      </c>
      <c r="K30" s="39">
        <f>K29-K26</f>
        <v>258066.66666666666</v>
      </c>
      <c r="L30" s="39">
        <f t="shared" ref="L30:U30" si="14">L29-L26</f>
        <v>258066.66666666666</v>
      </c>
      <c r="M30" s="39">
        <f t="shared" si="14"/>
        <v>258066.66666666666</v>
      </c>
      <c r="N30" s="39">
        <f t="shared" si="14"/>
        <v>258066.66666666666</v>
      </c>
      <c r="O30" s="39">
        <f t="shared" si="14"/>
        <v>258066.66666666666</v>
      </c>
      <c r="P30" s="39">
        <f t="shared" si="14"/>
        <v>258066.66666666666</v>
      </c>
      <c r="Q30" s="39">
        <f t="shared" si="14"/>
        <v>258066.66666666666</v>
      </c>
      <c r="R30" s="39">
        <f t="shared" si="14"/>
        <v>258066.66666666666</v>
      </c>
      <c r="S30" s="39">
        <f t="shared" si="14"/>
        <v>258066.66666666666</v>
      </c>
      <c r="T30" s="39">
        <f t="shared" si="14"/>
        <v>258066.66666666666</v>
      </c>
      <c r="U30" s="39">
        <f t="shared" si="14"/>
        <v>258066.66666666666</v>
      </c>
    </row>
    <row r="31" spans="1:22" x14ac:dyDescent="0.25">
      <c r="A31" s="1"/>
      <c r="B31" s="140" t="s">
        <v>52</v>
      </c>
      <c r="C31" s="141"/>
      <c r="D31" s="141"/>
      <c r="E31" s="141"/>
      <c r="F31" s="142"/>
      <c r="G31" s="53">
        <f>IRR(G30:U30)</f>
        <v>0.32300370576332194</v>
      </c>
      <c r="H31" s="54"/>
      <c r="I31" s="54"/>
      <c r="J31" s="54"/>
      <c r="K31" s="54"/>
      <c r="L31" s="54"/>
      <c r="M31" s="54"/>
      <c r="N31" s="54"/>
      <c r="O31" s="54"/>
      <c r="P31" s="54"/>
    </row>
    <row r="32" spans="1:22" ht="27.75" customHeight="1" x14ac:dyDescent="0.25">
      <c r="A32" s="1"/>
      <c r="B32" s="140" t="s">
        <v>53</v>
      </c>
      <c r="C32" s="141"/>
      <c r="D32" s="141"/>
      <c r="E32" s="141"/>
      <c r="F32" s="142"/>
      <c r="G32" s="55">
        <f>NPV(0.1,G30:U30)</f>
        <v>905001.80548119568</v>
      </c>
      <c r="H32" s="54"/>
      <c r="I32" s="54"/>
      <c r="J32" s="54"/>
      <c r="K32" s="54"/>
      <c r="L32" s="54"/>
      <c r="M32" s="54"/>
      <c r="N32" s="54"/>
      <c r="O32" s="54"/>
      <c r="P32" s="54"/>
    </row>
    <row r="33" spans="1:21" x14ac:dyDescent="0.25">
      <c r="A33" s="36"/>
      <c r="B33" s="36"/>
      <c r="C33" s="36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</row>
    <row r="34" spans="1:21" x14ac:dyDescent="0.25">
      <c r="A34" s="36"/>
      <c r="B34" s="143" t="s">
        <v>54</v>
      </c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</row>
    <row r="35" spans="1:21" x14ac:dyDescent="0.25">
      <c r="A35" s="36"/>
      <c r="B35" s="37"/>
      <c r="C35" s="38" t="s">
        <v>19</v>
      </c>
      <c r="D35" s="39" t="s">
        <v>20</v>
      </c>
      <c r="E35" s="39" t="s">
        <v>21</v>
      </c>
      <c r="F35" s="39" t="s">
        <v>22</v>
      </c>
      <c r="G35" s="144" t="s">
        <v>23</v>
      </c>
      <c r="H35" s="145"/>
      <c r="I35" s="145"/>
      <c r="J35" s="145"/>
      <c r="K35" s="145"/>
      <c r="L35" s="145"/>
      <c r="M35" s="145"/>
      <c r="N35" s="145"/>
      <c r="O35" s="145"/>
      <c r="P35" s="145"/>
    </row>
    <row r="36" spans="1:21" x14ac:dyDescent="0.25">
      <c r="A36" s="36"/>
      <c r="B36" s="38" t="s">
        <v>24</v>
      </c>
      <c r="C36" s="37"/>
      <c r="D36" s="40"/>
      <c r="E36" s="40"/>
      <c r="F36" s="40"/>
      <c r="G36" s="40">
        <v>1</v>
      </c>
      <c r="H36" s="40">
        <f t="shared" ref="H36:P36" si="15">G36+1</f>
        <v>2</v>
      </c>
      <c r="I36" s="40">
        <f t="shared" si="15"/>
        <v>3</v>
      </c>
      <c r="J36" s="40">
        <f t="shared" si="15"/>
        <v>4</v>
      </c>
      <c r="K36" s="40">
        <f t="shared" si="15"/>
        <v>5</v>
      </c>
      <c r="L36" s="40">
        <f t="shared" si="15"/>
        <v>6</v>
      </c>
      <c r="M36" s="40">
        <f t="shared" si="15"/>
        <v>7</v>
      </c>
      <c r="N36" s="40">
        <f t="shared" si="15"/>
        <v>8</v>
      </c>
      <c r="O36" s="40">
        <f t="shared" si="15"/>
        <v>9</v>
      </c>
      <c r="P36" s="40">
        <f t="shared" si="15"/>
        <v>10</v>
      </c>
      <c r="Q36">
        <v>11</v>
      </c>
      <c r="R36">
        <v>12</v>
      </c>
      <c r="S36">
        <v>13</v>
      </c>
      <c r="T36">
        <v>14</v>
      </c>
      <c r="U36">
        <v>15</v>
      </c>
    </row>
    <row r="37" spans="1:21" ht="35.25" customHeight="1" x14ac:dyDescent="0.25">
      <c r="A37" s="36"/>
      <c r="B37" s="61" t="s">
        <v>60</v>
      </c>
      <c r="C37" s="37" t="s">
        <v>61</v>
      </c>
      <c r="D37" s="40">
        <v>0</v>
      </c>
      <c r="E37" s="40">
        <f>E4*0.9</f>
        <v>0</v>
      </c>
      <c r="F37" s="40">
        <f>D37*E37</f>
        <v>0</v>
      </c>
      <c r="G37" s="40"/>
      <c r="H37" s="40">
        <f>F37</f>
        <v>0</v>
      </c>
      <c r="I37" s="40">
        <f>F37</f>
        <v>0</v>
      </c>
      <c r="J37" s="40">
        <f>F37</f>
        <v>0</v>
      </c>
      <c r="K37" s="40">
        <f t="shared" ref="K37:U39" si="16">J37</f>
        <v>0</v>
      </c>
      <c r="L37" s="40">
        <f t="shared" si="16"/>
        <v>0</v>
      </c>
      <c r="M37" s="40">
        <f t="shared" si="16"/>
        <v>0</v>
      </c>
      <c r="N37" s="40">
        <f t="shared" si="16"/>
        <v>0</v>
      </c>
      <c r="O37" s="40">
        <f t="shared" si="16"/>
        <v>0</v>
      </c>
      <c r="P37" s="40">
        <f t="shared" si="16"/>
        <v>0</v>
      </c>
      <c r="Q37" s="40">
        <f t="shared" si="16"/>
        <v>0</v>
      </c>
      <c r="R37" s="40">
        <f t="shared" si="16"/>
        <v>0</v>
      </c>
      <c r="S37" s="40">
        <f t="shared" si="16"/>
        <v>0</v>
      </c>
      <c r="T37" s="40">
        <f t="shared" si="16"/>
        <v>0</v>
      </c>
      <c r="U37" s="40">
        <f t="shared" si="16"/>
        <v>0</v>
      </c>
    </row>
    <row r="38" spans="1:21" x14ac:dyDescent="0.25">
      <c r="A38" s="36"/>
      <c r="B38" s="62" t="s">
        <v>62</v>
      </c>
      <c r="C38" s="37" t="s">
        <v>63</v>
      </c>
      <c r="D38" s="40">
        <f>D5</f>
        <v>50</v>
      </c>
      <c r="E38" s="40">
        <f>E5*0.9</f>
        <v>900</v>
      </c>
      <c r="F38" s="40">
        <f>D38*E38</f>
        <v>45000</v>
      </c>
      <c r="G38" s="40">
        <f>F38</f>
        <v>45000</v>
      </c>
      <c r="H38" s="40">
        <f>D38*E38</f>
        <v>45000</v>
      </c>
      <c r="I38" s="40">
        <f>D38*E38</f>
        <v>45000</v>
      </c>
      <c r="J38" s="40">
        <f>D38*E38</f>
        <v>45000</v>
      </c>
      <c r="K38" s="40">
        <f t="shared" si="16"/>
        <v>45000</v>
      </c>
      <c r="L38" s="40">
        <f t="shared" si="16"/>
        <v>45000</v>
      </c>
      <c r="M38" s="40">
        <f t="shared" si="16"/>
        <v>45000</v>
      </c>
      <c r="N38" s="40">
        <f t="shared" si="16"/>
        <v>45000</v>
      </c>
      <c r="O38" s="40">
        <f t="shared" si="16"/>
        <v>45000</v>
      </c>
      <c r="P38" s="40">
        <f t="shared" si="16"/>
        <v>45000</v>
      </c>
      <c r="Q38" s="40">
        <f t="shared" si="16"/>
        <v>45000</v>
      </c>
      <c r="R38" s="40">
        <f t="shared" si="16"/>
        <v>45000</v>
      </c>
      <c r="S38" s="40">
        <f t="shared" si="16"/>
        <v>45000</v>
      </c>
      <c r="T38" s="40">
        <f t="shared" si="16"/>
        <v>45000</v>
      </c>
      <c r="U38" s="40">
        <f t="shared" si="16"/>
        <v>45000</v>
      </c>
    </row>
    <row r="39" spans="1:21" x14ac:dyDescent="0.25">
      <c r="A39" s="36"/>
      <c r="B39" s="62" t="s">
        <v>64</v>
      </c>
      <c r="C39" s="37" t="s">
        <v>34</v>
      </c>
      <c r="D39" s="40">
        <f>D6</f>
        <v>2</v>
      </c>
      <c r="E39" s="40">
        <f>E6</f>
        <v>150000</v>
      </c>
      <c r="F39" s="40">
        <f>D39*E39</f>
        <v>300000</v>
      </c>
      <c r="G39" s="40">
        <f>F39</f>
        <v>300000</v>
      </c>
      <c r="H39" s="40">
        <f>G39</f>
        <v>300000</v>
      </c>
      <c r="I39" s="40">
        <f>H39</f>
        <v>300000</v>
      </c>
      <c r="J39" s="40">
        <f>I39</f>
        <v>300000</v>
      </c>
      <c r="K39" s="40">
        <f>J39</f>
        <v>300000</v>
      </c>
      <c r="L39" s="40">
        <f t="shared" si="16"/>
        <v>300000</v>
      </c>
      <c r="M39" s="40">
        <f t="shared" si="16"/>
        <v>300000</v>
      </c>
      <c r="N39" s="40">
        <f t="shared" si="16"/>
        <v>300000</v>
      </c>
      <c r="O39" s="40">
        <f t="shared" si="16"/>
        <v>300000</v>
      </c>
      <c r="P39" s="40">
        <f t="shared" si="16"/>
        <v>300000</v>
      </c>
      <c r="Q39" s="40"/>
      <c r="R39" s="40"/>
      <c r="S39" s="40"/>
      <c r="T39" s="40"/>
      <c r="U39" s="40">
        <f>P39</f>
        <v>300000</v>
      </c>
    </row>
    <row r="40" spans="1:21" x14ac:dyDescent="0.25">
      <c r="A40" s="36"/>
      <c r="B40" s="38" t="s">
        <v>30</v>
      </c>
      <c r="C40" s="37"/>
      <c r="D40" s="40">
        <f t="shared" ref="D40:D48" si="17">D7</f>
        <v>0</v>
      </c>
      <c r="E40" s="40">
        <f t="shared" ref="E40:E49" si="18">E7*0.9</f>
        <v>0</v>
      </c>
      <c r="F40" s="39">
        <f>SUM(F37:F39)</f>
        <v>345000</v>
      </c>
      <c r="G40" s="39">
        <f t="shared" ref="G40:U40" si="19">SUM(G37:G39)</f>
        <v>345000</v>
      </c>
      <c r="H40" s="39">
        <f>SUM(H37:H39)</f>
        <v>345000</v>
      </c>
      <c r="I40" s="39">
        <f t="shared" si="19"/>
        <v>345000</v>
      </c>
      <c r="J40" s="39">
        <f t="shared" si="19"/>
        <v>345000</v>
      </c>
      <c r="K40" s="39">
        <f t="shared" si="19"/>
        <v>345000</v>
      </c>
      <c r="L40" s="39">
        <f t="shared" si="19"/>
        <v>345000</v>
      </c>
      <c r="M40" s="39">
        <f t="shared" si="19"/>
        <v>345000</v>
      </c>
      <c r="N40" s="39">
        <f t="shared" si="19"/>
        <v>345000</v>
      </c>
      <c r="O40" s="39">
        <f t="shared" si="19"/>
        <v>345000</v>
      </c>
      <c r="P40" s="39">
        <f t="shared" si="19"/>
        <v>345000</v>
      </c>
      <c r="Q40" s="39">
        <f t="shared" si="19"/>
        <v>45000</v>
      </c>
      <c r="R40" s="39">
        <f t="shared" si="19"/>
        <v>45000</v>
      </c>
      <c r="S40" s="39">
        <f t="shared" si="19"/>
        <v>45000</v>
      </c>
      <c r="T40" s="39">
        <f t="shared" si="19"/>
        <v>45000</v>
      </c>
      <c r="U40" s="39">
        <f t="shared" si="19"/>
        <v>345000</v>
      </c>
    </row>
    <row r="41" spans="1:21" x14ac:dyDescent="0.25">
      <c r="A41" s="36"/>
      <c r="B41" s="37"/>
      <c r="C41" s="37"/>
      <c r="D41" s="40">
        <f t="shared" si="17"/>
        <v>0</v>
      </c>
      <c r="E41" s="40">
        <f t="shared" si="18"/>
        <v>0</v>
      </c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</row>
    <row r="42" spans="1:21" x14ac:dyDescent="0.25">
      <c r="A42" s="36"/>
      <c r="B42" s="43" t="s">
        <v>31</v>
      </c>
      <c r="C42" s="37"/>
      <c r="D42" s="40">
        <f t="shared" si="17"/>
        <v>0</v>
      </c>
      <c r="E42" s="40">
        <f t="shared" si="18"/>
        <v>0</v>
      </c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</row>
    <row r="43" spans="1:21" x14ac:dyDescent="0.25">
      <c r="A43" s="36"/>
      <c r="B43" s="38" t="s">
        <v>32</v>
      </c>
      <c r="C43" s="37"/>
      <c r="D43" s="40">
        <f t="shared" si="17"/>
        <v>0</v>
      </c>
      <c r="E43" s="40">
        <f t="shared" si="18"/>
        <v>0</v>
      </c>
      <c r="F43" s="44"/>
      <c r="G43" s="40"/>
      <c r="H43" s="40"/>
      <c r="I43" s="40"/>
      <c r="J43" s="40"/>
      <c r="K43" s="40"/>
      <c r="L43" s="40"/>
      <c r="M43" s="40"/>
      <c r="N43" s="40"/>
      <c r="O43" s="40"/>
      <c r="P43" s="40"/>
    </row>
    <row r="44" spans="1:21" x14ac:dyDescent="0.25">
      <c r="A44" s="36"/>
      <c r="B44" s="63" t="s">
        <v>66</v>
      </c>
      <c r="C44" s="37" t="s">
        <v>34</v>
      </c>
      <c r="D44" s="40">
        <f t="shared" si="17"/>
        <v>2</v>
      </c>
      <c r="E44" s="40">
        <f>E11*0.9</f>
        <v>90000</v>
      </c>
      <c r="F44" s="40">
        <f>D44*E44</f>
        <v>180000</v>
      </c>
      <c r="G44" s="40">
        <f>D44*E44</f>
        <v>180000</v>
      </c>
      <c r="H44" s="40">
        <v>0</v>
      </c>
      <c r="I44" s="40">
        <v>0</v>
      </c>
      <c r="J44" s="40">
        <v>0</v>
      </c>
      <c r="K44" s="40"/>
      <c r="L44" s="40"/>
      <c r="M44" s="40"/>
      <c r="N44" s="40"/>
      <c r="O44" s="40"/>
      <c r="P44" s="40">
        <f>K44</f>
        <v>0</v>
      </c>
    </row>
    <row r="45" spans="1:21" x14ac:dyDescent="0.25">
      <c r="A45" s="36"/>
      <c r="B45" s="63" t="s">
        <v>67</v>
      </c>
      <c r="C45" s="37" t="s">
        <v>36</v>
      </c>
      <c r="D45" s="40">
        <f t="shared" si="17"/>
        <v>2</v>
      </c>
      <c r="E45" s="40">
        <f t="shared" si="18"/>
        <v>72000</v>
      </c>
      <c r="F45" s="40">
        <f t="shared" ref="F45" si="20">D45*E45</f>
        <v>144000</v>
      </c>
      <c r="G45" s="40">
        <f>D45*E45</f>
        <v>144000</v>
      </c>
      <c r="H45" s="40">
        <v>0</v>
      </c>
      <c r="I45" s="40">
        <v>0</v>
      </c>
      <c r="J45" s="40">
        <v>0</v>
      </c>
      <c r="K45" s="40">
        <v>0</v>
      </c>
      <c r="L45" s="40"/>
      <c r="M45" s="40"/>
      <c r="N45" s="40"/>
      <c r="O45" s="40"/>
      <c r="P45" s="40"/>
    </row>
    <row r="46" spans="1:21" x14ac:dyDescent="0.25">
      <c r="A46" s="36"/>
      <c r="B46" s="38" t="s">
        <v>37</v>
      </c>
      <c r="C46" s="37"/>
      <c r="D46" s="40">
        <f t="shared" si="17"/>
        <v>0</v>
      </c>
      <c r="E46" s="40">
        <f t="shared" si="18"/>
        <v>0</v>
      </c>
      <c r="F46" s="39">
        <f t="shared" ref="F46:K46" si="21">SUM(F44:F45)</f>
        <v>324000</v>
      </c>
      <c r="G46" s="39">
        <f t="shared" si="21"/>
        <v>324000</v>
      </c>
      <c r="H46" s="39">
        <f t="shared" si="21"/>
        <v>0</v>
      </c>
      <c r="I46" s="39">
        <f t="shared" si="21"/>
        <v>0</v>
      </c>
      <c r="J46" s="39">
        <f t="shared" si="21"/>
        <v>0</v>
      </c>
      <c r="K46" s="39">
        <f t="shared" si="21"/>
        <v>0</v>
      </c>
      <c r="L46" s="39">
        <f t="shared" ref="L46:U46" si="22">SUM(L44:L45)</f>
        <v>0</v>
      </c>
      <c r="M46" s="39">
        <f t="shared" si="22"/>
        <v>0</v>
      </c>
      <c r="N46" s="39">
        <f t="shared" si="22"/>
        <v>0</v>
      </c>
      <c r="O46" s="39">
        <f t="shared" si="22"/>
        <v>0</v>
      </c>
      <c r="P46" s="39">
        <f t="shared" si="22"/>
        <v>0</v>
      </c>
      <c r="Q46" s="39">
        <f t="shared" si="22"/>
        <v>0</v>
      </c>
      <c r="R46" s="39">
        <f t="shared" si="22"/>
        <v>0</v>
      </c>
      <c r="S46" s="39">
        <f t="shared" si="22"/>
        <v>0</v>
      </c>
      <c r="T46" s="39">
        <f t="shared" si="22"/>
        <v>0</v>
      </c>
      <c r="U46" s="39">
        <f t="shared" si="22"/>
        <v>0</v>
      </c>
    </row>
    <row r="47" spans="1:21" x14ac:dyDescent="0.25">
      <c r="A47" s="36"/>
      <c r="B47" s="37"/>
      <c r="C47" s="37"/>
      <c r="D47" s="40">
        <f t="shared" si="17"/>
        <v>0</v>
      </c>
      <c r="E47" s="40">
        <f t="shared" si="18"/>
        <v>0</v>
      </c>
      <c r="F47" s="40">
        <f t="shared" ref="F47:F48" si="23">D47*E47</f>
        <v>0</v>
      </c>
      <c r="G47" s="40"/>
      <c r="H47" s="40"/>
      <c r="I47" s="40"/>
      <c r="J47" s="40"/>
      <c r="K47" s="40"/>
      <c r="L47" s="40"/>
      <c r="M47" s="40"/>
      <c r="N47" s="40"/>
      <c r="O47" s="40"/>
      <c r="P47" s="40"/>
    </row>
    <row r="48" spans="1:21" x14ac:dyDescent="0.25">
      <c r="A48" s="36"/>
      <c r="B48" s="38" t="s">
        <v>38</v>
      </c>
      <c r="C48" s="37"/>
      <c r="D48" s="40">
        <f t="shared" si="17"/>
        <v>0</v>
      </c>
      <c r="E48" s="40">
        <f t="shared" si="18"/>
        <v>0</v>
      </c>
      <c r="F48" s="40">
        <f t="shared" si="23"/>
        <v>0</v>
      </c>
      <c r="G48" s="40"/>
      <c r="H48" s="40"/>
      <c r="I48" s="40"/>
      <c r="J48" s="40"/>
      <c r="K48" s="40"/>
      <c r="L48" s="40"/>
      <c r="M48" s="40"/>
      <c r="N48" s="40"/>
      <c r="O48" s="40"/>
      <c r="P48" s="40"/>
    </row>
    <row r="49" spans="1:22" x14ac:dyDescent="0.25">
      <c r="A49" s="36"/>
      <c r="B49" s="64" t="s">
        <v>68</v>
      </c>
      <c r="C49" s="37"/>
      <c r="D49" s="40">
        <v>2</v>
      </c>
      <c r="E49" s="40">
        <f t="shared" si="18"/>
        <v>9000</v>
      </c>
      <c r="F49" s="40">
        <f>D49*E49</f>
        <v>18000</v>
      </c>
      <c r="G49" s="40">
        <f>F49</f>
        <v>18000</v>
      </c>
      <c r="H49" s="40">
        <f>G49</f>
        <v>18000</v>
      </c>
      <c r="I49" s="40">
        <f>H49</f>
        <v>18000</v>
      </c>
      <c r="J49" s="40">
        <f>I49</f>
        <v>18000</v>
      </c>
      <c r="K49" s="40">
        <f t="shared" ref="K49:U54" si="24">J49</f>
        <v>18000</v>
      </c>
      <c r="L49" s="40">
        <f t="shared" si="24"/>
        <v>18000</v>
      </c>
      <c r="M49" s="40">
        <f t="shared" si="24"/>
        <v>18000</v>
      </c>
      <c r="N49" s="40">
        <f t="shared" si="24"/>
        <v>18000</v>
      </c>
      <c r="O49" s="40">
        <f t="shared" si="24"/>
        <v>18000</v>
      </c>
      <c r="P49" s="40">
        <f t="shared" si="24"/>
        <v>18000</v>
      </c>
      <c r="Q49" s="40">
        <f t="shared" si="24"/>
        <v>18000</v>
      </c>
      <c r="R49" s="40">
        <f t="shared" si="24"/>
        <v>18000</v>
      </c>
      <c r="S49" s="40">
        <f t="shared" si="24"/>
        <v>18000</v>
      </c>
      <c r="T49" s="40">
        <f t="shared" si="24"/>
        <v>18000</v>
      </c>
      <c r="U49" s="40">
        <f t="shared" si="24"/>
        <v>18000</v>
      </c>
    </row>
    <row r="50" spans="1:22" x14ac:dyDescent="0.25">
      <c r="A50" s="36"/>
      <c r="B50" s="45" t="s">
        <v>41</v>
      </c>
      <c r="C50" s="37" t="s">
        <v>40</v>
      </c>
      <c r="D50" s="40">
        <v>2</v>
      </c>
      <c r="E50" s="40">
        <f>E17</f>
        <v>1000</v>
      </c>
      <c r="F50" s="40">
        <f t="shared" ref="F50:F54" si="25">D50*E50</f>
        <v>2000</v>
      </c>
      <c r="G50" s="40">
        <f>F50</f>
        <v>2000</v>
      </c>
      <c r="H50" s="40">
        <f>D50*E50*1</f>
        <v>2000</v>
      </c>
      <c r="I50" s="40">
        <f>D50*E50*1</f>
        <v>2000</v>
      </c>
      <c r="J50" s="40">
        <f>D50*E50</f>
        <v>2000</v>
      </c>
      <c r="K50" s="40">
        <f t="shared" si="24"/>
        <v>2000</v>
      </c>
      <c r="L50" s="40">
        <f t="shared" si="24"/>
        <v>2000</v>
      </c>
      <c r="M50" s="40">
        <f t="shared" si="24"/>
        <v>2000</v>
      </c>
      <c r="N50" s="40">
        <f t="shared" si="24"/>
        <v>2000</v>
      </c>
      <c r="O50" s="40">
        <f t="shared" si="24"/>
        <v>2000</v>
      </c>
      <c r="P50" s="40">
        <f t="shared" si="24"/>
        <v>2000</v>
      </c>
      <c r="Q50" s="40">
        <f t="shared" si="24"/>
        <v>2000</v>
      </c>
      <c r="R50" s="40">
        <f t="shared" si="24"/>
        <v>2000</v>
      </c>
      <c r="S50" s="40">
        <f t="shared" si="24"/>
        <v>2000</v>
      </c>
      <c r="T50" s="40">
        <f t="shared" si="24"/>
        <v>2000</v>
      </c>
      <c r="U50" s="40">
        <f t="shared" si="24"/>
        <v>2000</v>
      </c>
      <c r="V50" s="46"/>
    </row>
    <row r="51" spans="1:22" x14ac:dyDescent="0.25">
      <c r="A51" s="36"/>
      <c r="B51" s="45" t="s">
        <v>42</v>
      </c>
      <c r="C51" s="37" t="s">
        <v>40</v>
      </c>
      <c r="D51" s="40">
        <v>2</v>
      </c>
      <c r="E51" s="40">
        <f>E18*0.9</f>
        <v>9000</v>
      </c>
      <c r="F51" s="40">
        <f t="shared" si="25"/>
        <v>18000</v>
      </c>
      <c r="G51" s="40">
        <f>F51*0.5</f>
        <v>9000</v>
      </c>
      <c r="H51" s="40">
        <f>F51</f>
        <v>18000</v>
      </c>
      <c r="I51" s="40">
        <f t="shared" ref="I51:J51" si="26">H51</f>
        <v>18000</v>
      </c>
      <c r="J51" s="40">
        <f t="shared" si="26"/>
        <v>18000</v>
      </c>
      <c r="K51" s="40">
        <f t="shared" si="24"/>
        <v>18000</v>
      </c>
      <c r="L51" s="40">
        <f t="shared" si="24"/>
        <v>18000</v>
      </c>
      <c r="M51" s="40">
        <f t="shared" si="24"/>
        <v>18000</v>
      </c>
      <c r="N51" s="40">
        <f t="shared" si="24"/>
        <v>18000</v>
      </c>
      <c r="O51" s="40">
        <f t="shared" si="24"/>
        <v>18000</v>
      </c>
      <c r="P51" s="40">
        <f t="shared" si="24"/>
        <v>18000</v>
      </c>
      <c r="Q51" s="40">
        <f t="shared" si="24"/>
        <v>18000</v>
      </c>
      <c r="R51" s="40">
        <f t="shared" si="24"/>
        <v>18000</v>
      </c>
      <c r="S51" s="40">
        <f t="shared" si="24"/>
        <v>18000</v>
      </c>
      <c r="T51" s="40">
        <f t="shared" si="24"/>
        <v>18000</v>
      </c>
      <c r="U51" s="40">
        <f t="shared" si="24"/>
        <v>18000</v>
      </c>
      <c r="V51" s="46"/>
    </row>
    <row r="52" spans="1:22" x14ac:dyDescent="0.25">
      <c r="A52" s="36"/>
      <c r="B52" s="45" t="s">
        <v>233</v>
      </c>
      <c r="C52" s="37" t="s">
        <v>40</v>
      </c>
      <c r="D52" s="40">
        <v>2</v>
      </c>
      <c r="E52" s="40">
        <f>E19*0.9</f>
        <v>270</v>
      </c>
      <c r="F52" s="40">
        <f t="shared" si="25"/>
        <v>540</v>
      </c>
      <c r="G52" s="40">
        <f>F52</f>
        <v>540</v>
      </c>
      <c r="H52" s="40">
        <f>F52</f>
        <v>540</v>
      </c>
      <c r="I52" s="40">
        <f>F52</f>
        <v>540</v>
      </c>
      <c r="J52" s="40">
        <f>F52</f>
        <v>540</v>
      </c>
      <c r="K52" s="40">
        <f>J52</f>
        <v>540</v>
      </c>
      <c r="L52" s="40">
        <f t="shared" si="24"/>
        <v>540</v>
      </c>
      <c r="M52" s="40">
        <f t="shared" si="24"/>
        <v>540</v>
      </c>
      <c r="N52" s="40">
        <f t="shared" si="24"/>
        <v>540</v>
      </c>
      <c r="O52" s="40">
        <f t="shared" si="24"/>
        <v>540</v>
      </c>
      <c r="P52" s="40">
        <f t="shared" si="24"/>
        <v>540</v>
      </c>
      <c r="Q52" s="40">
        <f t="shared" si="24"/>
        <v>540</v>
      </c>
      <c r="R52" s="40">
        <f t="shared" si="24"/>
        <v>540</v>
      </c>
      <c r="S52" s="40">
        <f t="shared" si="24"/>
        <v>540</v>
      </c>
      <c r="T52" s="40">
        <f t="shared" si="24"/>
        <v>540</v>
      </c>
      <c r="U52" s="40">
        <f t="shared" si="24"/>
        <v>540</v>
      </c>
    </row>
    <row r="53" spans="1:22" x14ac:dyDescent="0.25">
      <c r="A53" s="36"/>
      <c r="B53" s="45" t="s">
        <v>69</v>
      </c>
      <c r="C53" s="37" t="s">
        <v>40</v>
      </c>
      <c r="D53" s="40">
        <v>2</v>
      </c>
      <c r="E53" s="40">
        <f>E20*0.9</f>
        <v>7200</v>
      </c>
      <c r="F53" s="40">
        <f t="shared" si="25"/>
        <v>14400</v>
      </c>
      <c r="G53" s="40">
        <f>F53</f>
        <v>14400</v>
      </c>
      <c r="H53" s="40">
        <f>D53*E53*1</f>
        <v>14400</v>
      </c>
      <c r="I53" s="40">
        <f>D53*E53*1</f>
        <v>14400</v>
      </c>
      <c r="J53" s="40">
        <f>D53*E53</f>
        <v>14400</v>
      </c>
      <c r="K53" s="40">
        <f>J53</f>
        <v>14400</v>
      </c>
      <c r="L53" s="40">
        <f t="shared" si="24"/>
        <v>14400</v>
      </c>
      <c r="M53" s="40">
        <f t="shared" si="24"/>
        <v>14400</v>
      </c>
      <c r="N53" s="40">
        <f t="shared" si="24"/>
        <v>14400</v>
      </c>
      <c r="O53" s="40">
        <f t="shared" si="24"/>
        <v>14400</v>
      </c>
      <c r="P53" s="40">
        <f t="shared" si="24"/>
        <v>14400</v>
      </c>
      <c r="Q53" s="40">
        <f t="shared" si="24"/>
        <v>14400</v>
      </c>
      <c r="R53" s="40">
        <f t="shared" si="24"/>
        <v>14400</v>
      </c>
      <c r="S53" s="40">
        <f t="shared" si="24"/>
        <v>14400</v>
      </c>
      <c r="T53" s="40">
        <f t="shared" si="24"/>
        <v>14400</v>
      </c>
      <c r="U53" s="40">
        <f t="shared" si="24"/>
        <v>14400</v>
      </c>
    </row>
    <row r="54" spans="1:22" x14ac:dyDescent="0.25">
      <c r="A54" s="36"/>
      <c r="B54" s="45" t="s">
        <v>234</v>
      </c>
      <c r="C54" s="37" t="s">
        <v>40</v>
      </c>
      <c r="D54" s="40">
        <v>1</v>
      </c>
      <c r="E54" s="40">
        <f>E21*0.9</f>
        <v>13500</v>
      </c>
      <c r="F54" s="40">
        <f t="shared" si="25"/>
        <v>13500</v>
      </c>
      <c r="G54" s="40">
        <f>F54</f>
        <v>13500</v>
      </c>
      <c r="H54" s="40">
        <f>D54*E54*1</f>
        <v>13500</v>
      </c>
      <c r="I54" s="40">
        <f>D54*E54*1</f>
        <v>13500</v>
      </c>
      <c r="J54" s="40">
        <f>D54*E54</f>
        <v>13500</v>
      </c>
      <c r="K54" s="40">
        <f>J54</f>
        <v>13500</v>
      </c>
      <c r="L54" s="40">
        <f t="shared" si="24"/>
        <v>13500</v>
      </c>
      <c r="M54" s="40">
        <f t="shared" si="24"/>
        <v>13500</v>
      </c>
      <c r="N54" s="40">
        <f t="shared" si="24"/>
        <v>13500</v>
      </c>
      <c r="O54" s="40">
        <f t="shared" si="24"/>
        <v>13500</v>
      </c>
      <c r="P54" s="40">
        <f t="shared" si="24"/>
        <v>13500</v>
      </c>
      <c r="Q54" s="40">
        <f t="shared" si="24"/>
        <v>13500</v>
      </c>
      <c r="R54" s="40">
        <f t="shared" si="24"/>
        <v>13500</v>
      </c>
      <c r="S54" s="40">
        <f t="shared" si="24"/>
        <v>13500</v>
      </c>
      <c r="T54" s="40">
        <f t="shared" si="24"/>
        <v>13500</v>
      </c>
      <c r="U54" s="40">
        <f t="shared" si="24"/>
        <v>13500</v>
      </c>
    </row>
    <row r="55" spans="1:22" x14ac:dyDescent="0.25">
      <c r="A55" s="36"/>
      <c r="B55" s="38" t="s">
        <v>44</v>
      </c>
      <c r="C55" s="37"/>
      <c r="D55" s="40">
        <f>D22</f>
        <v>0</v>
      </c>
      <c r="E55" s="40"/>
      <c r="F55" s="39">
        <f>SUM(F49:F54)</f>
        <v>66440</v>
      </c>
      <c r="G55" s="39">
        <f t="shared" ref="G55:U55" si="27">SUM(G49:G54)</f>
        <v>57440</v>
      </c>
      <c r="H55" s="39">
        <f t="shared" si="27"/>
        <v>66440</v>
      </c>
      <c r="I55" s="39">
        <f t="shared" si="27"/>
        <v>66440</v>
      </c>
      <c r="J55" s="39">
        <f t="shared" si="27"/>
        <v>66440</v>
      </c>
      <c r="K55" s="39">
        <f t="shared" si="27"/>
        <v>66440</v>
      </c>
      <c r="L55" s="39">
        <f t="shared" si="27"/>
        <v>66440</v>
      </c>
      <c r="M55" s="39">
        <f t="shared" si="27"/>
        <v>66440</v>
      </c>
      <c r="N55" s="39">
        <f t="shared" si="27"/>
        <v>66440</v>
      </c>
      <c r="O55" s="39">
        <f t="shared" si="27"/>
        <v>66440</v>
      </c>
      <c r="P55" s="39">
        <f t="shared" si="27"/>
        <v>66440</v>
      </c>
      <c r="Q55" s="39">
        <f t="shared" si="27"/>
        <v>66440</v>
      </c>
      <c r="R55" s="39">
        <f t="shared" si="27"/>
        <v>66440</v>
      </c>
      <c r="S55" s="39">
        <f t="shared" si="27"/>
        <v>66440</v>
      </c>
      <c r="T55" s="39">
        <f t="shared" si="27"/>
        <v>66440</v>
      </c>
      <c r="U55" s="39">
        <f t="shared" si="27"/>
        <v>66440</v>
      </c>
    </row>
    <row r="56" spans="1:22" x14ac:dyDescent="0.25">
      <c r="A56" s="36"/>
      <c r="B56" s="47"/>
      <c r="C56" s="37"/>
      <c r="D56" s="40">
        <f>D23</f>
        <v>0</v>
      </c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</row>
    <row r="57" spans="1:22" x14ac:dyDescent="0.25">
      <c r="A57" s="36"/>
      <c r="B57" s="38" t="s">
        <v>45</v>
      </c>
      <c r="C57" s="37"/>
      <c r="D57" s="40">
        <f>D24</f>
        <v>0</v>
      </c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</row>
    <row r="58" spans="1:22" x14ac:dyDescent="0.25">
      <c r="A58" s="36"/>
      <c r="B58" s="37" t="s">
        <v>72</v>
      </c>
      <c r="C58" s="37" t="s">
        <v>47</v>
      </c>
      <c r="D58" s="40">
        <f>D25</f>
        <v>1</v>
      </c>
      <c r="E58" s="40"/>
      <c r="F58" s="40">
        <f>D58*E58</f>
        <v>0</v>
      </c>
      <c r="G58" s="40">
        <v>0</v>
      </c>
      <c r="H58" s="40">
        <f>D58*E58</f>
        <v>0</v>
      </c>
      <c r="I58" s="40">
        <f t="shared" ref="I58:U58" si="28">H58</f>
        <v>0</v>
      </c>
      <c r="J58" s="40">
        <f t="shared" si="28"/>
        <v>0</v>
      </c>
      <c r="K58" s="40">
        <f t="shared" si="28"/>
        <v>0</v>
      </c>
      <c r="L58" s="40">
        <f t="shared" si="28"/>
        <v>0</v>
      </c>
      <c r="M58" s="40">
        <f t="shared" si="28"/>
        <v>0</v>
      </c>
      <c r="N58" s="40">
        <f t="shared" si="28"/>
        <v>0</v>
      </c>
      <c r="O58" s="40">
        <f t="shared" si="28"/>
        <v>0</v>
      </c>
      <c r="P58" s="40">
        <f t="shared" si="28"/>
        <v>0</v>
      </c>
      <c r="Q58" s="40">
        <f t="shared" si="28"/>
        <v>0</v>
      </c>
      <c r="R58" s="40">
        <f t="shared" si="28"/>
        <v>0</v>
      </c>
      <c r="S58" s="40">
        <f t="shared" si="28"/>
        <v>0</v>
      </c>
      <c r="T58" s="40">
        <f t="shared" si="28"/>
        <v>0</v>
      </c>
      <c r="U58" s="40">
        <f t="shared" si="28"/>
        <v>0</v>
      </c>
      <c r="V58" s="48">
        <f>SUM(H58:U58)</f>
        <v>0</v>
      </c>
    </row>
    <row r="59" spans="1:22" x14ac:dyDescent="0.25">
      <c r="A59" s="36"/>
      <c r="B59" s="38" t="s">
        <v>48</v>
      </c>
      <c r="C59" s="37"/>
      <c r="D59" s="40"/>
      <c r="E59" s="40"/>
      <c r="F59" s="39">
        <f t="shared" ref="F59:U59" si="29">SUM(F58:F58)</f>
        <v>0</v>
      </c>
      <c r="G59" s="39">
        <f t="shared" si="29"/>
        <v>0</v>
      </c>
      <c r="H59" s="39">
        <f t="shared" si="29"/>
        <v>0</v>
      </c>
      <c r="I59" s="39">
        <f t="shared" si="29"/>
        <v>0</v>
      </c>
      <c r="J59" s="39">
        <f t="shared" si="29"/>
        <v>0</v>
      </c>
      <c r="K59" s="39">
        <f t="shared" si="29"/>
        <v>0</v>
      </c>
      <c r="L59" s="39">
        <f t="shared" si="29"/>
        <v>0</v>
      </c>
      <c r="M59" s="39">
        <f t="shared" si="29"/>
        <v>0</v>
      </c>
      <c r="N59" s="39">
        <f t="shared" si="29"/>
        <v>0</v>
      </c>
      <c r="O59" s="39">
        <f t="shared" si="29"/>
        <v>0</v>
      </c>
      <c r="P59" s="39">
        <f t="shared" si="29"/>
        <v>0</v>
      </c>
      <c r="Q59" s="39">
        <f t="shared" si="29"/>
        <v>0</v>
      </c>
      <c r="R59" s="39">
        <f t="shared" si="29"/>
        <v>0</v>
      </c>
      <c r="S59" s="39">
        <f t="shared" si="29"/>
        <v>0</v>
      </c>
      <c r="T59" s="39">
        <f t="shared" si="29"/>
        <v>0</v>
      </c>
      <c r="U59" s="39">
        <f t="shared" si="29"/>
        <v>0</v>
      </c>
    </row>
    <row r="60" spans="1:22" x14ac:dyDescent="0.25">
      <c r="A60" s="36"/>
      <c r="B60" s="38" t="s">
        <v>49</v>
      </c>
      <c r="C60" s="37"/>
      <c r="D60" s="40"/>
      <c r="E60" s="40"/>
      <c r="F60" s="39">
        <f t="shared" ref="F60:U60" si="30">F46+F55+F59</f>
        <v>390440</v>
      </c>
      <c r="G60" s="39">
        <f t="shared" si="30"/>
        <v>381440</v>
      </c>
      <c r="H60" s="39">
        <f t="shared" si="30"/>
        <v>66440</v>
      </c>
      <c r="I60" s="39">
        <f t="shared" si="30"/>
        <v>66440</v>
      </c>
      <c r="J60" s="39">
        <f t="shared" si="30"/>
        <v>66440</v>
      </c>
      <c r="K60" s="39">
        <f t="shared" si="30"/>
        <v>66440</v>
      </c>
      <c r="L60" s="39">
        <f t="shared" si="30"/>
        <v>66440</v>
      </c>
      <c r="M60" s="39">
        <f t="shared" si="30"/>
        <v>66440</v>
      </c>
      <c r="N60" s="39">
        <f t="shared" si="30"/>
        <v>66440</v>
      </c>
      <c r="O60" s="39">
        <f t="shared" si="30"/>
        <v>66440</v>
      </c>
      <c r="P60" s="39">
        <f t="shared" si="30"/>
        <v>66440</v>
      </c>
      <c r="Q60" s="39">
        <f t="shared" si="30"/>
        <v>66440</v>
      </c>
      <c r="R60" s="39">
        <f t="shared" si="30"/>
        <v>66440</v>
      </c>
      <c r="S60" s="39">
        <f t="shared" si="30"/>
        <v>66440</v>
      </c>
      <c r="T60" s="39">
        <f t="shared" si="30"/>
        <v>66440</v>
      </c>
      <c r="U60" s="39">
        <f t="shared" si="30"/>
        <v>66440</v>
      </c>
    </row>
    <row r="61" spans="1:22" x14ac:dyDescent="0.25">
      <c r="A61" s="36"/>
      <c r="B61" s="38"/>
      <c r="C61" s="37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</row>
    <row r="62" spans="1:22" x14ac:dyDescent="0.25">
      <c r="A62" s="36"/>
      <c r="B62" s="38" t="s">
        <v>50</v>
      </c>
      <c r="C62" s="37" t="s">
        <v>47</v>
      </c>
      <c r="D62" s="40"/>
      <c r="E62" s="40"/>
      <c r="F62" s="40"/>
      <c r="G62" s="39">
        <f t="shared" ref="G62:U62" si="31">G40-G46-G55</f>
        <v>-36440</v>
      </c>
      <c r="H62" s="39">
        <f t="shared" si="31"/>
        <v>278560</v>
      </c>
      <c r="I62" s="39">
        <f t="shared" si="31"/>
        <v>278560</v>
      </c>
      <c r="J62" s="39">
        <f t="shared" si="31"/>
        <v>278560</v>
      </c>
      <c r="K62" s="39">
        <f t="shared" si="31"/>
        <v>278560</v>
      </c>
      <c r="L62" s="39">
        <f t="shared" si="31"/>
        <v>278560</v>
      </c>
      <c r="M62" s="39">
        <f t="shared" si="31"/>
        <v>278560</v>
      </c>
      <c r="N62" s="39">
        <f t="shared" si="31"/>
        <v>278560</v>
      </c>
      <c r="O62" s="39">
        <f t="shared" si="31"/>
        <v>278560</v>
      </c>
      <c r="P62" s="39">
        <f t="shared" si="31"/>
        <v>278560</v>
      </c>
      <c r="Q62" s="39">
        <f t="shared" si="31"/>
        <v>-21440</v>
      </c>
      <c r="R62" s="39">
        <f t="shared" si="31"/>
        <v>-21440</v>
      </c>
      <c r="S62" s="39">
        <f t="shared" si="31"/>
        <v>-21440</v>
      </c>
      <c r="T62" s="39">
        <f t="shared" si="31"/>
        <v>-21440</v>
      </c>
      <c r="U62" s="39">
        <f t="shared" si="31"/>
        <v>278560</v>
      </c>
    </row>
    <row r="63" spans="1:22" x14ac:dyDescent="0.25">
      <c r="A63" s="36"/>
      <c r="B63" s="38" t="s">
        <v>51</v>
      </c>
      <c r="C63" s="37" t="s">
        <v>47</v>
      </c>
      <c r="D63" s="40"/>
      <c r="E63" s="40"/>
      <c r="F63" s="40"/>
      <c r="G63" s="39">
        <f>G62-G59</f>
        <v>-36440</v>
      </c>
      <c r="H63" s="39">
        <f>-(H62-H59)</f>
        <v>-278560</v>
      </c>
      <c r="I63" s="39">
        <f>-(I62-I59)</f>
        <v>-278560</v>
      </c>
      <c r="J63" s="39">
        <f>J62-J59</f>
        <v>278560</v>
      </c>
      <c r="K63" s="39">
        <f>K62-K59</f>
        <v>278560</v>
      </c>
      <c r="L63" s="39">
        <f t="shared" ref="L63:U63" si="32">L62-L59</f>
        <v>278560</v>
      </c>
      <c r="M63" s="39">
        <f t="shared" si="32"/>
        <v>278560</v>
      </c>
      <c r="N63" s="39">
        <f t="shared" si="32"/>
        <v>278560</v>
      </c>
      <c r="O63" s="39">
        <f t="shared" si="32"/>
        <v>278560</v>
      </c>
      <c r="P63" s="39">
        <f t="shared" si="32"/>
        <v>278560</v>
      </c>
      <c r="Q63" s="39">
        <f t="shared" si="32"/>
        <v>-21440</v>
      </c>
      <c r="R63" s="39">
        <f t="shared" si="32"/>
        <v>-21440</v>
      </c>
      <c r="S63" s="39">
        <f t="shared" si="32"/>
        <v>-21440</v>
      </c>
      <c r="T63" s="39">
        <f t="shared" si="32"/>
        <v>-21440</v>
      </c>
      <c r="U63" s="39">
        <f t="shared" si="32"/>
        <v>278560</v>
      </c>
    </row>
    <row r="64" spans="1:22" x14ac:dyDescent="0.25">
      <c r="A64" s="1"/>
      <c r="B64" s="140" t="s">
        <v>58</v>
      </c>
      <c r="C64" s="141"/>
      <c r="D64" s="141"/>
      <c r="E64" s="141"/>
      <c r="F64" s="142"/>
      <c r="G64" s="53">
        <f>IRR(G63:U63)</f>
        <v>0.33955408247517704</v>
      </c>
      <c r="H64" s="54"/>
      <c r="I64" s="54"/>
      <c r="J64" s="54"/>
      <c r="K64" s="54"/>
      <c r="L64" s="54"/>
      <c r="M64" s="54"/>
      <c r="N64" s="54"/>
      <c r="O64" s="54"/>
      <c r="P64" s="54"/>
    </row>
    <row r="65" spans="1:16" x14ac:dyDescent="0.25">
      <c r="A65" s="1"/>
      <c r="B65" s="140" t="s">
        <v>59</v>
      </c>
      <c r="C65" s="141"/>
      <c r="D65" s="141"/>
      <c r="E65" s="141"/>
      <c r="F65" s="142"/>
      <c r="G65" s="55">
        <f>NPV(0.1,G63:U63)</f>
        <v>586747.51159886294</v>
      </c>
      <c r="H65" s="54"/>
      <c r="I65" s="54"/>
      <c r="J65" s="54"/>
      <c r="K65" s="54"/>
      <c r="L65" s="54"/>
      <c r="M65" s="54"/>
      <c r="N65" s="54"/>
      <c r="O65" s="54"/>
      <c r="P65" s="54"/>
    </row>
  </sheetData>
  <mergeCells count="8">
    <mergeCell ref="B64:F64"/>
    <mergeCell ref="B65:F65"/>
    <mergeCell ref="B1:P1"/>
    <mergeCell ref="G2:P2"/>
    <mergeCell ref="B31:F31"/>
    <mergeCell ref="B32:F32"/>
    <mergeCell ref="B34:P34"/>
    <mergeCell ref="G35:P3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DD355-10AC-4BAE-B871-FDD6ECAC3E17}">
  <dimension ref="A1:V67"/>
  <sheetViews>
    <sheetView topLeftCell="B33" workbookViewId="0">
      <selection activeCell="Q65" sqref="Q65:Q66"/>
    </sheetView>
  </sheetViews>
  <sheetFormatPr defaultColWidth="15.7109375" defaultRowHeight="15" x14ac:dyDescent="0.25"/>
  <cols>
    <col min="2" max="2" width="34" customWidth="1"/>
  </cols>
  <sheetData>
    <row r="1" spans="1:21" x14ac:dyDescent="0.25">
      <c r="A1" s="36"/>
      <c r="B1" s="143" t="s">
        <v>18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</row>
    <row r="2" spans="1:21" x14ac:dyDescent="0.25">
      <c r="A2" s="36"/>
      <c r="B2" s="37"/>
      <c r="C2" s="38" t="s">
        <v>19</v>
      </c>
      <c r="D2" s="39" t="s">
        <v>20</v>
      </c>
      <c r="E2" s="39" t="s">
        <v>21</v>
      </c>
      <c r="F2" s="39" t="s">
        <v>22</v>
      </c>
      <c r="G2" s="144" t="s">
        <v>23</v>
      </c>
      <c r="H2" s="145"/>
      <c r="I2" s="145"/>
      <c r="J2" s="145"/>
      <c r="K2" s="145"/>
      <c r="L2" s="145"/>
      <c r="M2" s="145"/>
      <c r="N2" s="145"/>
      <c r="O2" s="145"/>
      <c r="P2" s="145"/>
    </row>
    <row r="3" spans="1:21" x14ac:dyDescent="0.25">
      <c r="A3" s="36"/>
      <c r="B3" s="38" t="s">
        <v>24</v>
      </c>
      <c r="C3" s="37"/>
      <c r="D3" s="40"/>
      <c r="E3" s="40"/>
      <c r="F3" s="40"/>
      <c r="G3" s="40">
        <v>1</v>
      </c>
      <c r="H3" s="40">
        <f t="shared" ref="H3:P3" si="0">G3+1</f>
        <v>2</v>
      </c>
      <c r="I3" s="40">
        <f t="shared" si="0"/>
        <v>3</v>
      </c>
      <c r="J3" s="40">
        <f t="shared" si="0"/>
        <v>4</v>
      </c>
      <c r="K3" s="40">
        <f t="shared" si="0"/>
        <v>5</v>
      </c>
      <c r="L3" s="40">
        <f t="shared" si="0"/>
        <v>6</v>
      </c>
      <c r="M3" s="40">
        <f t="shared" si="0"/>
        <v>7</v>
      </c>
      <c r="N3" s="40">
        <f t="shared" si="0"/>
        <v>8</v>
      </c>
      <c r="O3" s="40">
        <f t="shared" si="0"/>
        <v>9</v>
      </c>
      <c r="P3" s="40">
        <f t="shared" si="0"/>
        <v>10</v>
      </c>
      <c r="Q3">
        <v>11</v>
      </c>
      <c r="R3">
        <v>12</v>
      </c>
      <c r="S3">
        <v>13</v>
      </c>
      <c r="T3">
        <v>14</v>
      </c>
      <c r="U3">
        <v>15</v>
      </c>
    </row>
    <row r="4" spans="1:21" ht="20.25" customHeight="1" x14ac:dyDescent="0.25">
      <c r="A4" s="36"/>
      <c r="B4" s="61" t="s">
        <v>96</v>
      </c>
      <c r="C4" s="37" t="s">
        <v>27</v>
      </c>
      <c r="D4" s="40">
        <v>8000</v>
      </c>
      <c r="E4" s="40">
        <v>600</v>
      </c>
      <c r="F4" s="40">
        <v>0</v>
      </c>
      <c r="G4" s="40">
        <v>0</v>
      </c>
      <c r="H4" s="40">
        <f>I4</f>
        <v>4800000</v>
      </c>
      <c r="I4" s="40">
        <f>J4</f>
        <v>4800000</v>
      </c>
      <c r="J4" s="40">
        <f>D4*E4</f>
        <v>4800000</v>
      </c>
      <c r="K4" s="40">
        <f t="shared" ref="K4:U7" si="1">J4</f>
        <v>4800000</v>
      </c>
      <c r="L4" s="40">
        <f t="shared" si="1"/>
        <v>4800000</v>
      </c>
      <c r="M4" s="40">
        <f t="shared" si="1"/>
        <v>4800000</v>
      </c>
      <c r="N4" s="40">
        <f t="shared" si="1"/>
        <v>4800000</v>
      </c>
      <c r="O4" s="40">
        <f t="shared" si="1"/>
        <v>4800000</v>
      </c>
      <c r="P4" s="40">
        <f t="shared" si="1"/>
        <v>4800000</v>
      </c>
      <c r="Q4" s="40">
        <f t="shared" si="1"/>
        <v>4800000</v>
      </c>
      <c r="R4" s="40">
        <f t="shared" si="1"/>
        <v>4800000</v>
      </c>
      <c r="S4" s="40">
        <f t="shared" si="1"/>
        <v>4800000</v>
      </c>
      <c r="T4" s="40">
        <f t="shared" si="1"/>
        <v>4800000</v>
      </c>
      <c r="U4" s="40">
        <f t="shared" si="1"/>
        <v>4800000</v>
      </c>
    </row>
    <row r="5" spans="1:21" ht="24.75" customHeight="1" x14ac:dyDescent="0.25">
      <c r="A5" s="36"/>
      <c r="B5" s="61" t="s">
        <v>97</v>
      </c>
      <c r="C5" s="37" t="s">
        <v>86</v>
      </c>
      <c r="D5" s="40">
        <v>1</v>
      </c>
      <c r="E5" s="40">
        <v>350000</v>
      </c>
      <c r="F5" s="40">
        <v>0</v>
      </c>
      <c r="G5" s="40"/>
      <c r="H5" s="40">
        <f>E5</f>
        <v>350000</v>
      </c>
      <c r="I5" s="40">
        <f>E5</f>
        <v>350000</v>
      </c>
      <c r="J5" s="40">
        <f t="shared" ref="J5" si="2">I5</f>
        <v>350000</v>
      </c>
      <c r="K5" s="40">
        <f t="shared" si="1"/>
        <v>350000</v>
      </c>
      <c r="L5" s="40">
        <f t="shared" si="1"/>
        <v>350000</v>
      </c>
      <c r="M5" s="40">
        <f t="shared" si="1"/>
        <v>350000</v>
      </c>
      <c r="N5" s="40">
        <f t="shared" si="1"/>
        <v>350000</v>
      </c>
      <c r="O5" s="40">
        <f t="shared" si="1"/>
        <v>350000</v>
      </c>
      <c r="P5" s="40">
        <f t="shared" si="1"/>
        <v>350000</v>
      </c>
      <c r="Q5" s="40">
        <f t="shared" si="1"/>
        <v>350000</v>
      </c>
      <c r="R5" s="40">
        <f t="shared" si="1"/>
        <v>350000</v>
      </c>
      <c r="S5" s="40">
        <f t="shared" si="1"/>
        <v>350000</v>
      </c>
      <c r="T5" s="40">
        <f t="shared" si="1"/>
        <v>350000</v>
      </c>
      <c r="U5" s="40">
        <f t="shared" si="1"/>
        <v>350000</v>
      </c>
    </row>
    <row r="6" spans="1:21" ht="24.75" customHeight="1" x14ac:dyDescent="0.25">
      <c r="A6" s="36"/>
      <c r="B6" s="61"/>
      <c r="C6" s="37"/>
      <c r="D6" s="40"/>
      <c r="E6" s="40"/>
      <c r="F6" s="40"/>
      <c r="G6" s="40"/>
      <c r="H6" s="40"/>
      <c r="I6" s="40"/>
      <c r="J6" s="40"/>
      <c r="K6" s="40">
        <f t="shared" si="1"/>
        <v>0</v>
      </c>
      <c r="L6" s="40">
        <f t="shared" si="1"/>
        <v>0</v>
      </c>
      <c r="M6" s="40">
        <f t="shared" si="1"/>
        <v>0</v>
      </c>
      <c r="N6" s="40">
        <f t="shared" si="1"/>
        <v>0</v>
      </c>
      <c r="O6" s="40">
        <f t="shared" si="1"/>
        <v>0</v>
      </c>
      <c r="P6" s="40">
        <f t="shared" si="1"/>
        <v>0</v>
      </c>
      <c r="Q6" s="40">
        <f t="shared" si="1"/>
        <v>0</v>
      </c>
      <c r="R6" s="40">
        <f t="shared" si="1"/>
        <v>0</v>
      </c>
      <c r="S6" s="40">
        <f t="shared" si="1"/>
        <v>0</v>
      </c>
      <c r="T6" s="40">
        <f t="shared" si="1"/>
        <v>0</v>
      </c>
      <c r="U6" s="40">
        <f t="shared" si="1"/>
        <v>0</v>
      </c>
    </row>
    <row r="7" spans="1:21" x14ac:dyDescent="0.25">
      <c r="A7" s="36"/>
      <c r="B7" s="62"/>
      <c r="C7" s="37"/>
      <c r="D7" s="40"/>
      <c r="E7" s="40"/>
      <c r="F7" s="40"/>
      <c r="G7" s="40">
        <f>F7</f>
        <v>0</v>
      </c>
      <c r="H7" s="40">
        <f>F7</f>
        <v>0</v>
      </c>
      <c r="I7" s="40">
        <f>G7</f>
        <v>0</v>
      </c>
      <c r="J7" s="40">
        <f>H7</f>
        <v>0</v>
      </c>
      <c r="K7" s="40">
        <f t="shared" si="1"/>
        <v>0</v>
      </c>
      <c r="L7" s="40">
        <f t="shared" si="1"/>
        <v>0</v>
      </c>
      <c r="M7" s="40">
        <f t="shared" si="1"/>
        <v>0</v>
      </c>
      <c r="N7" s="40">
        <f t="shared" si="1"/>
        <v>0</v>
      </c>
      <c r="O7" s="40">
        <f t="shared" si="1"/>
        <v>0</v>
      </c>
      <c r="P7" s="40">
        <f t="shared" si="1"/>
        <v>0</v>
      </c>
      <c r="Q7" s="40">
        <f t="shared" si="1"/>
        <v>0</v>
      </c>
      <c r="R7" s="40">
        <f t="shared" si="1"/>
        <v>0</v>
      </c>
      <c r="S7" s="40">
        <f t="shared" si="1"/>
        <v>0</v>
      </c>
      <c r="T7" s="40">
        <f t="shared" si="1"/>
        <v>0</v>
      </c>
      <c r="U7" s="40">
        <f t="shared" si="1"/>
        <v>0</v>
      </c>
    </row>
    <row r="8" spans="1:21" x14ac:dyDescent="0.25">
      <c r="A8" s="36"/>
      <c r="B8" s="38" t="s">
        <v>30</v>
      </c>
      <c r="C8" s="37"/>
      <c r="D8" s="40"/>
      <c r="E8" s="40"/>
      <c r="F8" s="39">
        <f t="shared" ref="F8:U8" si="3">SUM(F4:F7)</f>
        <v>0</v>
      </c>
      <c r="G8" s="39">
        <f t="shared" si="3"/>
        <v>0</v>
      </c>
      <c r="H8" s="39">
        <f t="shared" si="3"/>
        <v>5150000</v>
      </c>
      <c r="I8" s="39">
        <f t="shared" si="3"/>
        <v>5150000</v>
      </c>
      <c r="J8" s="39">
        <f t="shared" si="3"/>
        <v>5150000</v>
      </c>
      <c r="K8" s="39">
        <f t="shared" si="3"/>
        <v>5150000</v>
      </c>
      <c r="L8" s="39">
        <f t="shared" si="3"/>
        <v>5150000</v>
      </c>
      <c r="M8" s="39">
        <f t="shared" si="3"/>
        <v>5150000</v>
      </c>
      <c r="N8" s="39">
        <f t="shared" si="3"/>
        <v>5150000</v>
      </c>
      <c r="O8" s="39">
        <f t="shared" si="3"/>
        <v>5150000</v>
      </c>
      <c r="P8" s="39">
        <f t="shared" si="3"/>
        <v>5150000</v>
      </c>
      <c r="Q8" s="39">
        <f t="shared" si="3"/>
        <v>5150000</v>
      </c>
      <c r="R8" s="39">
        <f t="shared" si="3"/>
        <v>5150000</v>
      </c>
      <c r="S8" s="39">
        <f t="shared" si="3"/>
        <v>5150000</v>
      </c>
      <c r="T8" s="39">
        <f t="shared" si="3"/>
        <v>5150000</v>
      </c>
      <c r="U8" s="39">
        <f t="shared" si="3"/>
        <v>5150000</v>
      </c>
    </row>
    <row r="9" spans="1:21" x14ac:dyDescent="0.25">
      <c r="A9" s="36"/>
      <c r="B9" s="37"/>
      <c r="C9" s="37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</row>
    <row r="10" spans="1:21" x14ac:dyDescent="0.25">
      <c r="A10" s="36"/>
      <c r="B10" s="43" t="s">
        <v>31</v>
      </c>
      <c r="C10" s="37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</row>
    <row r="11" spans="1:21" x14ac:dyDescent="0.25">
      <c r="A11" s="36"/>
      <c r="B11" s="38" t="s">
        <v>32</v>
      </c>
      <c r="C11" s="37"/>
      <c r="D11" s="40"/>
      <c r="E11" s="40"/>
      <c r="F11" s="44"/>
      <c r="G11" s="40"/>
      <c r="H11" s="40"/>
      <c r="I11" s="40"/>
      <c r="J11" s="40"/>
      <c r="K11" s="40"/>
      <c r="L11" s="40"/>
      <c r="M11" s="40"/>
      <c r="N11" s="40"/>
      <c r="O11" s="40"/>
      <c r="P11" s="40"/>
    </row>
    <row r="12" spans="1:21" ht="24.75" x14ac:dyDescent="0.25">
      <c r="A12" s="36"/>
      <c r="B12" s="139" t="s">
        <v>227</v>
      </c>
      <c r="C12" s="37" t="s">
        <v>93</v>
      </c>
      <c r="D12" s="40">
        <v>10</v>
      </c>
      <c r="E12" s="40">
        <v>300000</v>
      </c>
      <c r="F12" s="40">
        <f>D12*E12</f>
        <v>3000000</v>
      </c>
      <c r="G12" s="40">
        <f>D12*E12</f>
        <v>3000000</v>
      </c>
      <c r="H12" s="40">
        <f>G12</f>
        <v>3000000</v>
      </c>
      <c r="I12" s="40">
        <v>0</v>
      </c>
      <c r="J12" s="40"/>
      <c r="K12" s="40"/>
      <c r="L12" s="40">
        <v>10000</v>
      </c>
      <c r="M12" s="40"/>
      <c r="N12" s="40"/>
      <c r="O12" s="40">
        <v>10000</v>
      </c>
      <c r="P12" s="40"/>
      <c r="R12">
        <v>10000</v>
      </c>
      <c r="U12" s="48">
        <v>10000</v>
      </c>
    </row>
    <row r="13" spans="1:21" x14ac:dyDescent="0.25">
      <c r="A13" s="36"/>
      <c r="B13" s="38" t="s">
        <v>37</v>
      </c>
      <c r="C13" s="37"/>
      <c r="D13" s="40"/>
      <c r="E13" s="40"/>
      <c r="F13" s="39">
        <f t="shared" ref="F13:U13" si="4">SUM(F12:F12)</f>
        <v>3000000</v>
      </c>
      <c r="G13" s="39">
        <f t="shared" si="4"/>
        <v>3000000</v>
      </c>
      <c r="H13" s="39">
        <f t="shared" si="4"/>
        <v>3000000</v>
      </c>
      <c r="I13" s="39">
        <f t="shared" si="4"/>
        <v>0</v>
      </c>
      <c r="J13" s="39">
        <f t="shared" si="4"/>
        <v>0</v>
      </c>
      <c r="K13" s="39">
        <f t="shared" si="4"/>
        <v>0</v>
      </c>
      <c r="L13" s="39">
        <f t="shared" si="4"/>
        <v>10000</v>
      </c>
      <c r="M13" s="39">
        <f t="shared" si="4"/>
        <v>0</v>
      </c>
      <c r="N13" s="39">
        <f t="shared" si="4"/>
        <v>0</v>
      </c>
      <c r="O13" s="39">
        <f t="shared" si="4"/>
        <v>10000</v>
      </c>
      <c r="P13" s="39">
        <f t="shared" si="4"/>
        <v>0</v>
      </c>
      <c r="Q13" s="39">
        <f t="shared" si="4"/>
        <v>0</v>
      </c>
      <c r="R13" s="39">
        <f t="shared" si="4"/>
        <v>10000</v>
      </c>
      <c r="S13" s="39">
        <f t="shared" si="4"/>
        <v>0</v>
      </c>
      <c r="T13" s="39">
        <f t="shared" si="4"/>
        <v>0</v>
      </c>
      <c r="U13" s="39">
        <f t="shared" si="4"/>
        <v>10000</v>
      </c>
    </row>
    <row r="14" spans="1:21" x14ac:dyDescent="0.25">
      <c r="A14" s="36"/>
      <c r="B14" s="37"/>
      <c r="C14" s="37"/>
      <c r="D14" s="40"/>
      <c r="E14" s="40"/>
      <c r="F14" s="40">
        <f t="shared" ref="F14:F15" si="5">D14*E14</f>
        <v>0</v>
      </c>
      <c r="G14" s="40"/>
      <c r="H14" s="40"/>
      <c r="I14" s="40"/>
      <c r="J14" s="40"/>
      <c r="K14" s="40"/>
      <c r="L14" s="40"/>
      <c r="M14" s="40"/>
      <c r="N14" s="40"/>
      <c r="O14" s="40"/>
      <c r="P14" s="40"/>
    </row>
    <row r="15" spans="1:21" x14ac:dyDescent="0.25">
      <c r="A15" s="36"/>
      <c r="B15" s="38" t="s">
        <v>38</v>
      </c>
      <c r="C15" s="37"/>
      <c r="D15" s="40"/>
      <c r="E15" s="40"/>
      <c r="F15" s="40">
        <f t="shared" si="5"/>
        <v>0</v>
      </c>
      <c r="G15" s="40"/>
      <c r="H15" s="40"/>
      <c r="I15" s="40"/>
      <c r="J15" s="40"/>
      <c r="K15" s="40"/>
      <c r="L15" s="40"/>
      <c r="M15" s="40"/>
      <c r="N15" s="40"/>
      <c r="O15" s="40"/>
      <c r="P15" s="40"/>
    </row>
    <row r="16" spans="1:21" x14ac:dyDescent="0.25">
      <c r="B16" s="64" t="s">
        <v>229</v>
      </c>
      <c r="C16" s="37" t="s">
        <v>40</v>
      </c>
      <c r="D16" s="40">
        <v>10</v>
      </c>
      <c r="E16" s="40">
        <v>1000</v>
      </c>
      <c r="F16" s="40">
        <f>E16*D16</f>
        <v>10000</v>
      </c>
      <c r="G16" s="40">
        <f>F16</f>
        <v>10000</v>
      </c>
      <c r="H16" s="40">
        <f>G16</f>
        <v>10000</v>
      </c>
      <c r="I16" s="40">
        <f t="shared" ref="I16:U20" si="6">H16</f>
        <v>10000</v>
      </c>
      <c r="J16" s="40">
        <f t="shared" si="6"/>
        <v>10000</v>
      </c>
      <c r="K16" s="40">
        <f t="shared" si="6"/>
        <v>10000</v>
      </c>
      <c r="L16" s="40">
        <f t="shared" si="6"/>
        <v>10000</v>
      </c>
      <c r="M16" s="40">
        <f t="shared" si="6"/>
        <v>10000</v>
      </c>
      <c r="N16" s="40">
        <f t="shared" si="6"/>
        <v>10000</v>
      </c>
      <c r="O16" s="40">
        <f t="shared" si="6"/>
        <v>10000</v>
      </c>
      <c r="P16" s="40">
        <f t="shared" si="6"/>
        <v>10000</v>
      </c>
      <c r="Q16" s="40">
        <f t="shared" si="6"/>
        <v>10000</v>
      </c>
      <c r="R16" s="40">
        <f t="shared" si="6"/>
        <v>10000</v>
      </c>
      <c r="S16" s="40">
        <f t="shared" si="6"/>
        <v>10000</v>
      </c>
      <c r="T16" s="40">
        <f t="shared" si="6"/>
        <v>10000</v>
      </c>
      <c r="U16" s="40">
        <f t="shared" si="6"/>
        <v>10000</v>
      </c>
    </row>
    <row r="17" spans="1:22" x14ac:dyDescent="0.25">
      <c r="B17" s="65" t="s">
        <v>99</v>
      </c>
      <c r="C17" s="37" t="s">
        <v>40</v>
      </c>
      <c r="D17" s="40">
        <v>200</v>
      </c>
      <c r="E17" s="40">
        <v>1500</v>
      </c>
      <c r="F17" s="40">
        <f>D17*E17</f>
        <v>300000</v>
      </c>
      <c r="G17" s="40">
        <f>F17</f>
        <v>300000</v>
      </c>
      <c r="H17" s="40">
        <f t="shared" ref="H17:T20" si="7">G17</f>
        <v>300000</v>
      </c>
      <c r="I17" s="40">
        <f t="shared" si="6"/>
        <v>300000</v>
      </c>
      <c r="J17" s="40">
        <f t="shared" si="6"/>
        <v>300000</v>
      </c>
      <c r="K17" s="40">
        <f t="shared" si="7"/>
        <v>300000</v>
      </c>
      <c r="L17" s="40">
        <f t="shared" si="6"/>
        <v>300000</v>
      </c>
      <c r="M17" s="40">
        <f t="shared" si="6"/>
        <v>300000</v>
      </c>
      <c r="N17" s="40">
        <f t="shared" si="7"/>
        <v>300000</v>
      </c>
      <c r="O17" s="40">
        <f t="shared" si="6"/>
        <v>300000</v>
      </c>
      <c r="P17" s="40">
        <f t="shared" si="6"/>
        <v>300000</v>
      </c>
      <c r="Q17" s="40">
        <f t="shared" si="7"/>
        <v>300000</v>
      </c>
      <c r="R17" s="40">
        <f t="shared" si="6"/>
        <v>300000</v>
      </c>
      <c r="S17" s="40">
        <f t="shared" si="6"/>
        <v>300000</v>
      </c>
      <c r="T17" s="40">
        <f t="shared" si="7"/>
        <v>300000</v>
      </c>
      <c r="U17" s="40">
        <f t="shared" si="6"/>
        <v>300000</v>
      </c>
    </row>
    <row r="18" spans="1:22" x14ac:dyDescent="0.25">
      <c r="A18" s="36"/>
      <c r="B18" s="45" t="s">
        <v>100</v>
      </c>
      <c r="C18" s="37" t="s">
        <v>40</v>
      </c>
      <c r="D18" s="40"/>
      <c r="E18" s="40"/>
      <c r="F18" s="40">
        <f>J4*0.4</f>
        <v>1920000</v>
      </c>
      <c r="G18" s="40">
        <f>F18</f>
        <v>1920000</v>
      </c>
      <c r="H18" s="40">
        <f>G18</f>
        <v>1920000</v>
      </c>
      <c r="I18" s="40">
        <f t="shared" si="6"/>
        <v>1920000</v>
      </c>
      <c r="J18" s="40">
        <f>J4*0.75</f>
        <v>3600000</v>
      </c>
      <c r="K18" s="40">
        <f t="shared" si="7"/>
        <v>3600000</v>
      </c>
      <c r="L18" s="40">
        <f t="shared" si="6"/>
        <v>3600000</v>
      </c>
      <c r="M18" s="40">
        <f t="shared" si="6"/>
        <v>3600000</v>
      </c>
      <c r="N18" s="40">
        <f t="shared" si="7"/>
        <v>3600000</v>
      </c>
      <c r="O18" s="40">
        <f t="shared" si="6"/>
        <v>3600000</v>
      </c>
      <c r="P18" s="40">
        <f t="shared" si="6"/>
        <v>3600000</v>
      </c>
      <c r="Q18" s="40">
        <f t="shared" si="7"/>
        <v>3600000</v>
      </c>
      <c r="R18" s="40">
        <f t="shared" si="6"/>
        <v>3600000</v>
      </c>
      <c r="S18" s="40">
        <f t="shared" si="6"/>
        <v>3600000</v>
      </c>
      <c r="T18" s="40">
        <f t="shared" si="7"/>
        <v>3600000</v>
      </c>
      <c r="U18" s="40">
        <f t="shared" si="6"/>
        <v>3600000</v>
      </c>
    </row>
    <row r="19" spans="1:22" x14ac:dyDescent="0.25">
      <c r="A19" s="36"/>
      <c r="B19" s="45" t="s">
        <v>83</v>
      </c>
      <c r="C19" s="37" t="s">
        <v>40</v>
      </c>
      <c r="D19" s="40"/>
      <c r="E19" s="40"/>
      <c r="F19" s="40">
        <v>905000</v>
      </c>
      <c r="G19" s="40">
        <f>F19</f>
        <v>905000</v>
      </c>
      <c r="H19" s="40">
        <f>G19</f>
        <v>905000</v>
      </c>
      <c r="I19" s="40">
        <f t="shared" si="6"/>
        <v>905000</v>
      </c>
      <c r="J19" s="40">
        <v>10000</v>
      </c>
      <c r="K19" s="40">
        <f t="shared" si="7"/>
        <v>10000</v>
      </c>
      <c r="L19" s="40">
        <f t="shared" si="6"/>
        <v>10000</v>
      </c>
      <c r="M19" s="40">
        <f t="shared" si="6"/>
        <v>10000</v>
      </c>
      <c r="N19" s="40">
        <f t="shared" si="7"/>
        <v>10000</v>
      </c>
      <c r="O19" s="40">
        <f t="shared" si="6"/>
        <v>10000</v>
      </c>
      <c r="P19" s="40">
        <f t="shared" si="6"/>
        <v>10000</v>
      </c>
      <c r="Q19" s="40">
        <f t="shared" si="7"/>
        <v>10000</v>
      </c>
      <c r="R19" s="40">
        <f t="shared" si="6"/>
        <v>10000</v>
      </c>
      <c r="S19" s="40">
        <f t="shared" si="6"/>
        <v>10000</v>
      </c>
      <c r="T19" s="40">
        <f t="shared" si="7"/>
        <v>10000</v>
      </c>
      <c r="U19" s="40">
        <f t="shared" si="6"/>
        <v>10000</v>
      </c>
      <c r="V19" s="46"/>
    </row>
    <row r="20" spans="1:22" x14ac:dyDescent="0.25">
      <c r="A20" s="36"/>
      <c r="B20" s="45" t="s">
        <v>231</v>
      </c>
      <c r="C20" s="37" t="s">
        <v>40</v>
      </c>
      <c r="D20" s="40"/>
      <c r="E20" s="40"/>
      <c r="F20" s="40">
        <v>900000</v>
      </c>
      <c r="G20" s="40">
        <f>F20</f>
        <v>900000</v>
      </c>
      <c r="H20" s="40">
        <f>G20</f>
        <v>900000</v>
      </c>
      <c r="I20" s="40">
        <f t="shared" si="6"/>
        <v>900000</v>
      </c>
      <c r="J20" s="40">
        <f t="shared" ref="J20" si="8">I20</f>
        <v>900000</v>
      </c>
      <c r="K20" s="40">
        <f t="shared" si="7"/>
        <v>900000</v>
      </c>
      <c r="L20" s="40">
        <f t="shared" si="6"/>
        <v>900000</v>
      </c>
      <c r="M20" s="40">
        <f t="shared" si="6"/>
        <v>900000</v>
      </c>
      <c r="N20" s="40">
        <f t="shared" si="7"/>
        <v>900000</v>
      </c>
      <c r="O20" s="40">
        <f t="shared" si="6"/>
        <v>900000</v>
      </c>
      <c r="P20" s="40">
        <f t="shared" si="6"/>
        <v>900000</v>
      </c>
      <c r="Q20" s="40">
        <f t="shared" si="7"/>
        <v>900000</v>
      </c>
      <c r="R20" s="40">
        <f t="shared" si="6"/>
        <v>900000</v>
      </c>
      <c r="S20" s="40">
        <f t="shared" si="6"/>
        <v>900000</v>
      </c>
      <c r="T20" s="40">
        <f t="shared" si="7"/>
        <v>900000</v>
      </c>
      <c r="U20" s="40">
        <f t="shared" si="6"/>
        <v>900000</v>
      </c>
      <c r="V20" s="46"/>
    </row>
    <row r="21" spans="1:22" x14ac:dyDescent="0.25">
      <c r="A21" s="36"/>
      <c r="B21" s="45" t="s">
        <v>84</v>
      </c>
      <c r="C21" s="37" t="s">
        <v>40</v>
      </c>
      <c r="D21" s="40"/>
      <c r="E21" s="40"/>
      <c r="F21" s="40">
        <v>8900</v>
      </c>
      <c r="G21" s="40">
        <f t="shared" ref="G21:U21" si="9">F21</f>
        <v>8900</v>
      </c>
      <c r="H21" s="40">
        <f t="shared" si="9"/>
        <v>8900</v>
      </c>
      <c r="I21" s="40">
        <f t="shared" si="9"/>
        <v>8900</v>
      </c>
      <c r="J21" s="40">
        <f t="shared" si="9"/>
        <v>8900</v>
      </c>
      <c r="K21" s="40">
        <f t="shared" si="9"/>
        <v>8900</v>
      </c>
      <c r="L21" s="40">
        <f t="shared" si="9"/>
        <v>8900</v>
      </c>
      <c r="M21" s="40">
        <f t="shared" si="9"/>
        <v>8900</v>
      </c>
      <c r="N21" s="40">
        <f t="shared" si="9"/>
        <v>8900</v>
      </c>
      <c r="O21" s="40">
        <f t="shared" si="9"/>
        <v>8900</v>
      </c>
      <c r="P21" s="40">
        <f t="shared" si="9"/>
        <v>8900</v>
      </c>
      <c r="Q21" s="40">
        <f t="shared" si="9"/>
        <v>8900</v>
      </c>
      <c r="R21" s="40">
        <f t="shared" si="9"/>
        <v>8900</v>
      </c>
      <c r="S21" s="40">
        <f t="shared" si="9"/>
        <v>8900</v>
      </c>
      <c r="T21" s="40">
        <f t="shared" si="9"/>
        <v>8900</v>
      </c>
      <c r="U21" s="40">
        <f t="shared" si="9"/>
        <v>8900</v>
      </c>
      <c r="V21" s="46"/>
    </row>
    <row r="22" spans="1:22" x14ac:dyDescent="0.25">
      <c r="A22" s="36"/>
      <c r="B22" s="45"/>
      <c r="C22" s="37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</row>
    <row r="23" spans="1:22" x14ac:dyDescent="0.25">
      <c r="A23" s="36"/>
      <c r="B23" s="38" t="s">
        <v>44</v>
      </c>
      <c r="C23" s="37"/>
      <c r="D23" s="40"/>
      <c r="E23" s="40"/>
      <c r="F23" s="39">
        <f>SUM(F16:F22)</f>
        <v>4043900</v>
      </c>
      <c r="G23" s="39">
        <f t="shared" ref="G23:U23" si="10">SUM(G16:G22)</f>
        <v>4043900</v>
      </c>
      <c r="H23" s="39">
        <f t="shared" si="10"/>
        <v>4043900</v>
      </c>
      <c r="I23" s="39">
        <f t="shared" si="10"/>
        <v>4043900</v>
      </c>
      <c r="J23" s="39">
        <f t="shared" si="10"/>
        <v>4828900</v>
      </c>
      <c r="K23" s="39">
        <f t="shared" si="10"/>
        <v>4828900</v>
      </c>
      <c r="L23" s="39">
        <f t="shared" si="10"/>
        <v>4828900</v>
      </c>
      <c r="M23" s="39">
        <f t="shared" si="10"/>
        <v>4828900</v>
      </c>
      <c r="N23" s="39">
        <f t="shared" si="10"/>
        <v>4828900</v>
      </c>
      <c r="O23" s="39">
        <f t="shared" si="10"/>
        <v>4828900</v>
      </c>
      <c r="P23" s="39">
        <f t="shared" si="10"/>
        <v>4828900</v>
      </c>
      <c r="Q23" s="39">
        <f t="shared" si="10"/>
        <v>4828900</v>
      </c>
      <c r="R23" s="39">
        <f t="shared" si="10"/>
        <v>4828900</v>
      </c>
      <c r="S23" s="39">
        <f t="shared" si="10"/>
        <v>4828900</v>
      </c>
      <c r="T23" s="39">
        <f t="shared" si="10"/>
        <v>4828900</v>
      </c>
      <c r="U23" s="39">
        <f t="shared" si="10"/>
        <v>4828900</v>
      </c>
    </row>
    <row r="24" spans="1:22" x14ac:dyDescent="0.25">
      <c r="A24" s="36"/>
      <c r="B24" s="47"/>
      <c r="C24" s="37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</row>
    <row r="25" spans="1:22" x14ac:dyDescent="0.25">
      <c r="A25" s="36"/>
      <c r="B25" s="38" t="s">
        <v>45</v>
      </c>
      <c r="C25" s="37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</row>
    <row r="26" spans="1:22" x14ac:dyDescent="0.25">
      <c r="A26" s="36"/>
      <c r="B26" s="37" t="s">
        <v>46</v>
      </c>
      <c r="C26" s="37" t="s">
        <v>98</v>
      </c>
      <c r="D26" s="40">
        <v>1</v>
      </c>
      <c r="E26" s="49">
        <f>E12/15</f>
        <v>20000</v>
      </c>
      <c r="F26" s="40">
        <f>D26*E26</f>
        <v>20000</v>
      </c>
      <c r="G26" s="40"/>
      <c r="H26" s="40">
        <f>D26*E26</f>
        <v>20000</v>
      </c>
      <c r="I26" s="40">
        <f t="shared" ref="I26:U26" si="11">H26</f>
        <v>20000</v>
      </c>
      <c r="J26" s="40">
        <f t="shared" si="11"/>
        <v>20000</v>
      </c>
      <c r="K26" s="40">
        <f t="shared" si="11"/>
        <v>20000</v>
      </c>
      <c r="L26" s="40">
        <f t="shared" si="11"/>
        <v>20000</v>
      </c>
      <c r="M26" s="40">
        <f t="shared" si="11"/>
        <v>20000</v>
      </c>
      <c r="N26" s="40">
        <f t="shared" si="11"/>
        <v>20000</v>
      </c>
      <c r="O26" s="40">
        <f t="shared" si="11"/>
        <v>20000</v>
      </c>
      <c r="P26" s="40">
        <f t="shared" si="11"/>
        <v>20000</v>
      </c>
      <c r="Q26" s="40">
        <f t="shared" si="11"/>
        <v>20000</v>
      </c>
      <c r="R26" s="40">
        <f t="shared" si="11"/>
        <v>20000</v>
      </c>
      <c r="S26" s="40">
        <f t="shared" si="11"/>
        <v>20000</v>
      </c>
      <c r="T26" s="40">
        <f t="shared" si="11"/>
        <v>20000</v>
      </c>
      <c r="U26" s="40">
        <f t="shared" si="11"/>
        <v>20000</v>
      </c>
      <c r="V26" s="48">
        <f>SUM(H26:U26)</f>
        <v>280000</v>
      </c>
    </row>
    <row r="27" spans="1:22" x14ac:dyDescent="0.25">
      <c r="A27" s="36"/>
      <c r="B27" s="38" t="s">
        <v>48</v>
      </c>
      <c r="C27" s="37"/>
      <c r="D27" s="40"/>
      <c r="E27" s="40"/>
      <c r="F27" s="39">
        <f t="shared" ref="F27:U27" si="12">SUM(F26:F26)</f>
        <v>20000</v>
      </c>
      <c r="G27" s="39">
        <f t="shared" si="12"/>
        <v>0</v>
      </c>
      <c r="H27" s="39">
        <f t="shared" si="12"/>
        <v>20000</v>
      </c>
      <c r="I27" s="39">
        <f t="shared" si="12"/>
        <v>20000</v>
      </c>
      <c r="J27" s="39">
        <f t="shared" si="12"/>
        <v>20000</v>
      </c>
      <c r="K27" s="39">
        <f t="shared" si="12"/>
        <v>20000</v>
      </c>
      <c r="L27" s="39">
        <f t="shared" si="12"/>
        <v>20000</v>
      </c>
      <c r="M27" s="39">
        <f t="shared" si="12"/>
        <v>20000</v>
      </c>
      <c r="N27" s="39">
        <f t="shared" si="12"/>
        <v>20000</v>
      </c>
      <c r="O27" s="39">
        <f t="shared" si="12"/>
        <v>20000</v>
      </c>
      <c r="P27" s="39">
        <f t="shared" si="12"/>
        <v>20000</v>
      </c>
      <c r="Q27" s="39">
        <f t="shared" si="12"/>
        <v>20000</v>
      </c>
      <c r="R27" s="39">
        <f t="shared" si="12"/>
        <v>20000</v>
      </c>
      <c r="S27" s="39">
        <f t="shared" si="12"/>
        <v>20000</v>
      </c>
      <c r="T27" s="39">
        <f t="shared" si="12"/>
        <v>20000</v>
      </c>
      <c r="U27" s="39">
        <f t="shared" si="12"/>
        <v>20000</v>
      </c>
    </row>
    <row r="28" spans="1:22" x14ac:dyDescent="0.25">
      <c r="A28" s="36"/>
      <c r="B28" s="38" t="s">
        <v>49</v>
      </c>
      <c r="C28" s="37"/>
      <c r="D28" s="40"/>
      <c r="E28" s="40"/>
      <c r="F28" s="39">
        <f t="shared" ref="F28:U28" si="13">F13+F23+F27</f>
        <v>7063900</v>
      </c>
      <c r="G28" s="39">
        <f t="shared" si="13"/>
        <v>7043900</v>
      </c>
      <c r="H28" s="39">
        <f t="shared" si="13"/>
        <v>7063900</v>
      </c>
      <c r="I28" s="39">
        <f t="shared" si="13"/>
        <v>4063900</v>
      </c>
      <c r="J28" s="39">
        <f t="shared" si="13"/>
        <v>4848900</v>
      </c>
      <c r="K28" s="39">
        <f t="shared" si="13"/>
        <v>4848900</v>
      </c>
      <c r="L28" s="39">
        <f t="shared" si="13"/>
        <v>4858900</v>
      </c>
      <c r="M28" s="39">
        <f t="shared" si="13"/>
        <v>4848900</v>
      </c>
      <c r="N28" s="39">
        <f t="shared" si="13"/>
        <v>4848900</v>
      </c>
      <c r="O28" s="39">
        <f t="shared" si="13"/>
        <v>4858900</v>
      </c>
      <c r="P28" s="39">
        <f t="shared" si="13"/>
        <v>4848900</v>
      </c>
      <c r="Q28" s="39">
        <f t="shared" si="13"/>
        <v>4848900</v>
      </c>
      <c r="R28" s="39">
        <f t="shared" si="13"/>
        <v>4858900</v>
      </c>
      <c r="S28" s="39">
        <f t="shared" si="13"/>
        <v>4848900</v>
      </c>
      <c r="T28" s="39">
        <f t="shared" si="13"/>
        <v>4848900</v>
      </c>
      <c r="U28" s="39">
        <f t="shared" si="13"/>
        <v>4858900</v>
      </c>
    </row>
    <row r="29" spans="1:22" x14ac:dyDescent="0.25">
      <c r="A29" s="36"/>
      <c r="B29" s="38"/>
      <c r="C29" s="37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</row>
    <row r="30" spans="1:22" x14ac:dyDescent="0.25">
      <c r="A30" s="36"/>
      <c r="B30" s="38" t="s">
        <v>50</v>
      </c>
      <c r="C30" s="37" t="s">
        <v>88</v>
      </c>
      <c r="D30" s="40"/>
      <c r="E30" s="40"/>
      <c r="F30" s="40"/>
      <c r="G30" s="39">
        <f t="shared" ref="G30:U30" si="14">G8-G13-G23</f>
        <v>-7043900</v>
      </c>
      <c r="H30" s="39">
        <f t="shared" si="14"/>
        <v>-1893900</v>
      </c>
      <c r="I30" s="39">
        <f t="shared" si="14"/>
        <v>1106100</v>
      </c>
      <c r="J30" s="39">
        <f t="shared" si="14"/>
        <v>321100</v>
      </c>
      <c r="K30" s="39">
        <f t="shared" si="14"/>
        <v>321100</v>
      </c>
      <c r="L30" s="39">
        <f t="shared" si="14"/>
        <v>311100</v>
      </c>
      <c r="M30" s="39">
        <f t="shared" si="14"/>
        <v>321100</v>
      </c>
      <c r="N30" s="39">
        <f t="shared" si="14"/>
        <v>321100</v>
      </c>
      <c r="O30" s="39">
        <f t="shared" si="14"/>
        <v>311100</v>
      </c>
      <c r="P30" s="39">
        <f t="shared" si="14"/>
        <v>321100</v>
      </c>
      <c r="Q30" s="39">
        <f t="shared" si="14"/>
        <v>321100</v>
      </c>
      <c r="R30" s="39">
        <f t="shared" si="14"/>
        <v>311100</v>
      </c>
      <c r="S30" s="39">
        <f t="shared" si="14"/>
        <v>321100</v>
      </c>
      <c r="T30" s="39">
        <f t="shared" si="14"/>
        <v>321100</v>
      </c>
      <c r="U30" s="39">
        <f t="shared" si="14"/>
        <v>311100</v>
      </c>
    </row>
    <row r="31" spans="1:22" x14ac:dyDescent="0.25">
      <c r="A31" s="36"/>
      <c r="B31" s="38" t="s">
        <v>71</v>
      </c>
      <c r="C31" s="37" t="s">
        <v>88</v>
      </c>
      <c r="D31" s="40"/>
      <c r="E31" s="40"/>
      <c r="F31" s="40"/>
      <c r="G31" s="39">
        <f>G30-G27</f>
        <v>-7043900</v>
      </c>
      <c r="H31" s="39">
        <f>H30-H27</f>
        <v>-1913900</v>
      </c>
      <c r="I31" s="39">
        <f>I30-I27</f>
        <v>1086100</v>
      </c>
      <c r="J31" s="39">
        <f>J30-J27</f>
        <v>301100</v>
      </c>
      <c r="K31" s="39">
        <f>K30-K27</f>
        <v>301100</v>
      </c>
      <c r="L31" s="39">
        <f t="shared" ref="L31:U31" si="15">L30-L27</f>
        <v>291100</v>
      </c>
      <c r="M31" s="39">
        <f t="shared" si="15"/>
        <v>301100</v>
      </c>
      <c r="N31" s="39">
        <f t="shared" si="15"/>
        <v>301100</v>
      </c>
      <c r="O31" s="39">
        <f t="shared" si="15"/>
        <v>291100</v>
      </c>
      <c r="P31" s="39">
        <f t="shared" si="15"/>
        <v>301100</v>
      </c>
      <c r="Q31" s="39">
        <f t="shared" si="15"/>
        <v>301100</v>
      </c>
      <c r="R31" s="39">
        <f t="shared" si="15"/>
        <v>291100</v>
      </c>
      <c r="S31" s="39">
        <f t="shared" si="15"/>
        <v>301100</v>
      </c>
      <c r="T31" s="39">
        <f t="shared" si="15"/>
        <v>301100</v>
      </c>
      <c r="U31" s="39">
        <f t="shared" si="15"/>
        <v>291100</v>
      </c>
    </row>
    <row r="32" spans="1:22" x14ac:dyDescent="0.25">
      <c r="A32" s="1"/>
      <c r="B32" s="140" t="s">
        <v>52</v>
      </c>
      <c r="C32" s="141"/>
      <c r="D32" s="141"/>
      <c r="E32" s="141"/>
      <c r="F32" s="142"/>
      <c r="G32" s="53">
        <f>IRR(H31:U31)</f>
        <v>0.21726913500869127</v>
      </c>
      <c r="H32" s="54"/>
      <c r="I32" s="54"/>
      <c r="J32" s="54"/>
      <c r="K32" s="54"/>
      <c r="L32" s="54"/>
      <c r="M32" s="54"/>
      <c r="N32" s="54"/>
      <c r="O32" s="54"/>
      <c r="P32" s="54"/>
    </row>
    <row r="33" spans="1:21" x14ac:dyDescent="0.25">
      <c r="A33" s="1"/>
      <c r="B33" s="140" t="s">
        <v>53</v>
      </c>
      <c r="C33" s="141"/>
      <c r="D33" s="141"/>
      <c r="E33" s="141"/>
      <c r="F33" s="142"/>
      <c r="G33" s="55">
        <f>NPV(0.1,G31:U31)</f>
        <v>-5643344.5257672928</v>
      </c>
      <c r="H33" s="54"/>
      <c r="I33" s="54"/>
      <c r="J33" s="54"/>
      <c r="K33" s="54"/>
      <c r="L33" s="54"/>
      <c r="M33" s="54"/>
      <c r="N33" s="54"/>
      <c r="O33" s="54"/>
      <c r="P33" s="54"/>
    </row>
    <row r="34" spans="1:21" x14ac:dyDescent="0.25">
      <c r="A34" s="1"/>
      <c r="B34" s="50"/>
      <c r="C34" s="51"/>
      <c r="D34" s="51"/>
      <c r="E34" s="51"/>
      <c r="F34" s="52"/>
      <c r="G34" s="55"/>
      <c r="H34" s="54"/>
      <c r="I34" s="54"/>
      <c r="J34" s="54"/>
      <c r="K34" s="54"/>
      <c r="L34" s="54"/>
      <c r="M34" s="54"/>
      <c r="N34" s="54"/>
      <c r="O34" s="54"/>
      <c r="P34" s="54"/>
    </row>
    <row r="35" spans="1:21" x14ac:dyDescent="0.25">
      <c r="A35" s="36"/>
      <c r="B35" s="36"/>
      <c r="C35" s="36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</row>
    <row r="36" spans="1:21" x14ac:dyDescent="0.25">
      <c r="A36" s="36"/>
      <c r="B36" s="143" t="s">
        <v>54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</row>
    <row r="37" spans="1:21" x14ac:dyDescent="0.25">
      <c r="A37" s="36"/>
      <c r="B37" s="37"/>
      <c r="C37" s="38" t="s">
        <v>19</v>
      </c>
      <c r="D37" s="39" t="s">
        <v>20</v>
      </c>
      <c r="E37" s="39" t="s">
        <v>21</v>
      </c>
      <c r="F37" s="39" t="s">
        <v>22</v>
      </c>
      <c r="G37" s="144" t="s">
        <v>23</v>
      </c>
      <c r="H37" s="145"/>
      <c r="I37" s="145"/>
      <c r="J37" s="145"/>
      <c r="K37" s="145"/>
      <c r="L37" s="145"/>
      <c r="M37" s="145"/>
      <c r="N37" s="145"/>
      <c r="O37" s="145"/>
      <c r="P37" s="145"/>
    </row>
    <row r="38" spans="1:21" x14ac:dyDescent="0.25">
      <c r="A38" s="36"/>
      <c r="B38" s="38" t="s">
        <v>24</v>
      </c>
      <c r="C38" s="37"/>
      <c r="D38" s="40"/>
      <c r="E38" s="40"/>
      <c r="F38" s="40"/>
      <c r="G38" s="40">
        <v>1</v>
      </c>
      <c r="H38" s="40">
        <f t="shared" ref="H38:P38" si="16">G38+1</f>
        <v>2</v>
      </c>
      <c r="I38" s="40">
        <f t="shared" si="16"/>
        <v>3</v>
      </c>
      <c r="J38" s="40">
        <f t="shared" si="16"/>
        <v>4</v>
      </c>
      <c r="K38" s="40">
        <f t="shared" si="16"/>
        <v>5</v>
      </c>
      <c r="L38" s="40">
        <f t="shared" si="16"/>
        <v>6</v>
      </c>
      <c r="M38" s="40">
        <f t="shared" si="16"/>
        <v>7</v>
      </c>
      <c r="N38" s="40">
        <f t="shared" si="16"/>
        <v>8</v>
      </c>
      <c r="O38" s="40">
        <f t="shared" si="16"/>
        <v>9</v>
      </c>
      <c r="P38" s="40">
        <f t="shared" si="16"/>
        <v>10</v>
      </c>
      <c r="Q38">
        <v>11</v>
      </c>
      <c r="R38">
        <v>12</v>
      </c>
      <c r="S38">
        <v>13</v>
      </c>
      <c r="T38">
        <v>14</v>
      </c>
      <c r="U38">
        <v>15</v>
      </c>
    </row>
    <row r="39" spans="1:21" ht="35.25" customHeight="1" x14ac:dyDescent="0.25">
      <c r="A39" s="36"/>
      <c r="B39" s="61" t="s">
        <v>80</v>
      </c>
      <c r="C39" s="37" t="s">
        <v>36</v>
      </c>
      <c r="D39" s="40">
        <f>D4</f>
        <v>8000</v>
      </c>
      <c r="E39" s="40">
        <f>E4*1.1</f>
        <v>660</v>
      </c>
      <c r="F39" s="40">
        <f>F4*0.9</f>
        <v>0</v>
      </c>
      <c r="G39" s="40">
        <f>F39</f>
        <v>0</v>
      </c>
      <c r="H39" s="40">
        <f>J39</f>
        <v>4320000</v>
      </c>
      <c r="I39" s="40">
        <f>J39</f>
        <v>4320000</v>
      </c>
      <c r="J39" s="40">
        <f>J4*0.9</f>
        <v>4320000</v>
      </c>
      <c r="K39" s="40">
        <f t="shared" ref="K39:U40" si="17">J39</f>
        <v>4320000</v>
      </c>
      <c r="L39" s="40">
        <f t="shared" si="17"/>
        <v>4320000</v>
      </c>
      <c r="M39" s="40">
        <f t="shared" si="17"/>
        <v>4320000</v>
      </c>
      <c r="N39" s="40">
        <f t="shared" si="17"/>
        <v>4320000</v>
      </c>
      <c r="O39" s="40">
        <f t="shared" si="17"/>
        <v>4320000</v>
      </c>
      <c r="P39" s="40">
        <f t="shared" si="17"/>
        <v>4320000</v>
      </c>
      <c r="Q39" s="40">
        <f t="shared" si="17"/>
        <v>4320000</v>
      </c>
      <c r="R39" s="40">
        <f t="shared" si="17"/>
        <v>4320000</v>
      </c>
      <c r="S39" s="40">
        <f t="shared" si="17"/>
        <v>4320000</v>
      </c>
      <c r="T39" s="40">
        <f t="shared" si="17"/>
        <v>4320000</v>
      </c>
      <c r="U39" s="40">
        <f t="shared" si="17"/>
        <v>4320000</v>
      </c>
    </row>
    <row r="40" spans="1:21" x14ac:dyDescent="0.25">
      <c r="A40" s="36"/>
      <c r="B40" s="62" t="s">
        <v>94</v>
      </c>
      <c r="C40" s="37" t="s">
        <v>36</v>
      </c>
      <c r="D40" s="40">
        <v>1</v>
      </c>
      <c r="E40" s="40">
        <f>E5</f>
        <v>350000</v>
      </c>
      <c r="F40" s="40">
        <f>F7*0.9</f>
        <v>0</v>
      </c>
      <c r="G40" s="40">
        <f>F40</f>
        <v>0</v>
      </c>
      <c r="H40" s="40">
        <f>J40</f>
        <v>315000</v>
      </c>
      <c r="I40" s="40">
        <f>H40</f>
        <v>315000</v>
      </c>
      <c r="J40" s="40">
        <f>E40*0.9</f>
        <v>315000</v>
      </c>
      <c r="K40" s="40">
        <f t="shared" si="17"/>
        <v>315000</v>
      </c>
      <c r="L40" s="40">
        <f t="shared" si="17"/>
        <v>315000</v>
      </c>
      <c r="M40" s="40">
        <f t="shared" si="17"/>
        <v>315000</v>
      </c>
      <c r="N40" s="40">
        <f t="shared" si="17"/>
        <v>315000</v>
      </c>
      <c r="O40" s="40">
        <f t="shared" si="17"/>
        <v>315000</v>
      </c>
      <c r="P40" s="40">
        <f t="shared" si="17"/>
        <v>315000</v>
      </c>
      <c r="Q40" s="40">
        <f t="shared" si="17"/>
        <v>315000</v>
      </c>
      <c r="R40" s="40">
        <f t="shared" si="17"/>
        <v>315000</v>
      </c>
      <c r="S40" s="40">
        <f t="shared" si="17"/>
        <v>315000</v>
      </c>
      <c r="T40" s="40">
        <f t="shared" si="17"/>
        <v>315000</v>
      </c>
      <c r="U40" s="40">
        <f t="shared" si="17"/>
        <v>315000</v>
      </c>
    </row>
    <row r="41" spans="1:21" x14ac:dyDescent="0.25">
      <c r="A41" s="36"/>
      <c r="B41" s="62"/>
      <c r="C41" s="37"/>
      <c r="D41" s="40"/>
      <c r="E41" s="40"/>
      <c r="F41" s="40"/>
      <c r="G41" s="40"/>
      <c r="H41" s="40"/>
      <c r="I41" s="40"/>
      <c r="J41" s="40">
        <f>E41*0.9</f>
        <v>0</v>
      </c>
      <c r="K41" s="40">
        <f t="shared" ref="K41:U41" si="18">F41*0.9</f>
        <v>0</v>
      </c>
      <c r="L41" s="40">
        <f t="shared" si="18"/>
        <v>0</v>
      </c>
      <c r="M41" s="40">
        <f t="shared" si="18"/>
        <v>0</v>
      </c>
      <c r="N41" s="40">
        <f t="shared" si="18"/>
        <v>0</v>
      </c>
      <c r="O41" s="40">
        <f t="shared" si="18"/>
        <v>0</v>
      </c>
      <c r="P41" s="40">
        <f t="shared" si="18"/>
        <v>0</v>
      </c>
      <c r="Q41" s="40">
        <f t="shared" si="18"/>
        <v>0</v>
      </c>
      <c r="R41" s="40">
        <f t="shared" si="18"/>
        <v>0</v>
      </c>
      <c r="S41" s="40">
        <f t="shared" si="18"/>
        <v>0</v>
      </c>
      <c r="T41" s="40">
        <f t="shared" si="18"/>
        <v>0</v>
      </c>
      <c r="U41" s="40">
        <f t="shared" si="18"/>
        <v>0</v>
      </c>
    </row>
    <row r="42" spans="1:21" x14ac:dyDescent="0.25">
      <c r="A42" s="36"/>
      <c r="B42" s="38" t="s">
        <v>30</v>
      </c>
      <c r="C42" s="37"/>
      <c r="D42" s="40">
        <f>D8</f>
        <v>0</v>
      </c>
      <c r="E42" s="40">
        <f>E8*0.9</f>
        <v>0</v>
      </c>
      <c r="F42" s="39">
        <f>SUM(F39:F41)</f>
        <v>0</v>
      </c>
      <c r="G42" s="39">
        <f t="shared" ref="G42:U42" si="19">SUM(G39:G41)</f>
        <v>0</v>
      </c>
      <c r="H42" s="39">
        <f t="shared" si="19"/>
        <v>4635000</v>
      </c>
      <c r="I42" s="39">
        <f>I8</f>
        <v>5150000</v>
      </c>
      <c r="J42" s="39">
        <f t="shared" si="19"/>
        <v>4635000</v>
      </c>
      <c r="K42" s="39">
        <f t="shared" si="19"/>
        <v>4635000</v>
      </c>
      <c r="L42" s="39">
        <f t="shared" si="19"/>
        <v>4635000</v>
      </c>
      <c r="M42" s="39">
        <f t="shared" si="19"/>
        <v>4635000</v>
      </c>
      <c r="N42" s="39">
        <f t="shared" si="19"/>
        <v>4635000</v>
      </c>
      <c r="O42" s="39">
        <f t="shared" si="19"/>
        <v>4635000</v>
      </c>
      <c r="P42" s="39">
        <f t="shared" si="19"/>
        <v>4635000</v>
      </c>
      <c r="Q42" s="39">
        <f t="shared" si="19"/>
        <v>4635000</v>
      </c>
      <c r="R42" s="39">
        <f t="shared" si="19"/>
        <v>4635000</v>
      </c>
      <c r="S42" s="39">
        <f t="shared" si="19"/>
        <v>4635000</v>
      </c>
      <c r="T42" s="39">
        <f t="shared" si="19"/>
        <v>4635000</v>
      </c>
      <c r="U42" s="39">
        <f t="shared" si="19"/>
        <v>4635000</v>
      </c>
    </row>
    <row r="43" spans="1:21" x14ac:dyDescent="0.25">
      <c r="A43" s="36"/>
      <c r="B43" s="37"/>
      <c r="C43" s="37"/>
      <c r="D43" s="40">
        <f>D9</f>
        <v>0</v>
      </c>
      <c r="E43" s="40">
        <f>E9*0.9</f>
        <v>0</v>
      </c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</row>
    <row r="44" spans="1:21" x14ac:dyDescent="0.25">
      <c r="A44" s="36"/>
      <c r="B44" s="43" t="s">
        <v>31</v>
      </c>
      <c r="C44" s="37"/>
      <c r="D44" s="40">
        <f>D10</f>
        <v>0</v>
      </c>
      <c r="E44" s="40">
        <f>E10*0.9</f>
        <v>0</v>
      </c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</row>
    <row r="45" spans="1:21" x14ac:dyDescent="0.25">
      <c r="A45" s="36"/>
      <c r="B45" s="38" t="s">
        <v>32</v>
      </c>
      <c r="C45" s="37"/>
      <c r="D45" s="40">
        <f>D11</f>
        <v>0</v>
      </c>
      <c r="E45" s="40">
        <f>E11*0.9</f>
        <v>0</v>
      </c>
      <c r="F45" s="44"/>
      <c r="G45" s="40"/>
      <c r="H45" s="40"/>
      <c r="I45" s="40"/>
      <c r="J45" s="40"/>
      <c r="K45" s="40"/>
      <c r="L45" s="40"/>
      <c r="M45" s="40"/>
      <c r="N45" s="40"/>
      <c r="O45" s="40"/>
      <c r="P45" s="40"/>
    </row>
    <row r="46" spans="1:21" ht="24.75" x14ac:dyDescent="0.25">
      <c r="A46" s="36"/>
      <c r="B46" s="139" t="s">
        <v>227</v>
      </c>
      <c r="C46" s="37" t="s">
        <v>34</v>
      </c>
      <c r="D46" s="40">
        <v>10</v>
      </c>
      <c r="E46" s="40">
        <f>E12*0.9</f>
        <v>270000</v>
      </c>
      <c r="F46" s="40">
        <f>F12*0.9</f>
        <v>2700000</v>
      </c>
      <c r="G46" s="40">
        <f>G12</f>
        <v>3000000</v>
      </c>
      <c r="H46" s="40"/>
      <c r="I46" s="40">
        <v>0</v>
      </c>
      <c r="J46" s="40">
        <v>0</v>
      </c>
      <c r="K46" s="40"/>
      <c r="L46" s="40"/>
      <c r="M46" s="40"/>
      <c r="N46" s="40"/>
      <c r="O46" s="40"/>
      <c r="P46" s="40">
        <f>K46</f>
        <v>0</v>
      </c>
    </row>
    <row r="47" spans="1:21" x14ac:dyDescent="0.25">
      <c r="A47" s="36"/>
      <c r="B47" s="63"/>
      <c r="C47" s="37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</row>
    <row r="48" spans="1:21" x14ac:dyDescent="0.25">
      <c r="A48" s="36"/>
      <c r="B48" s="38" t="s">
        <v>37</v>
      </c>
      <c r="C48" s="37"/>
      <c r="D48" s="40">
        <f>D13</f>
        <v>0</v>
      </c>
      <c r="E48" s="40">
        <f>E13*0.9</f>
        <v>0</v>
      </c>
      <c r="F48" s="39">
        <f t="shared" ref="F48:K48" si="20">SUM(F46:F47)</f>
        <v>2700000</v>
      </c>
      <c r="G48" s="39">
        <f t="shared" si="20"/>
        <v>3000000</v>
      </c>
      <c r="H48" s="39">
        <f t="shared" si="20"/>
        <v>0</v>
      </c>
      <c r="I48" s="39"/>
      <c r="J48" s="39">
        <f t="shared" si="20"/>
        <v>0</v>
      </c>
      <c r="K48" s="39">
        <f t="shared" si="20"/>
        <v>0</v>
      </c>
      <c r="L48" s="39"/>
      <c r="M48" s="39">
        <f t="shared" ref="M48:T48" si="21">SUM(M46:M47)</f>
        <v>0</v>
      </c>
      <c r="N48" s="39">
        <f t="shared" si="21"/>
        <v>0</v>
      </c>
      <c r="O48" s="39"/>
      <c r="P48" s="39">
        <f t="shared" si="21"/>
        <v>0</v>
      </c>
      <c r="Q48" s="39">
        <f t="shared" si="21"/>
        <v>0</v>
      </c>
      <c r="R48" s="39">
        <v>10000</v>
      </c>
      <c r="S48" s="39">
        <f t="shared" si="21"/>
        <v>0</v>
      </c>
      <c r="T48" s="39">
        <f t="shared" si="21"/>
        <v>0</v>
      </c>
      <c r="U48" s="39">
        <v>10000</v>
      </c>
    </row>
    <row r="49" spans="1:22" x14ac:dyDescent="0.25">
      <c r="A49" s="36"/>
      <c r="B49" s="37"/>
      <c r="C49" s="37"/>
      <c r="D49" s="40">
        <f>D14</f>
        <v>0</v>
      </c>
      <c r="E49" s="40">
        <f>E14*0.9</f>
        <v>0</v>
      </c>
      <c r="F49" s="40">
        <f t="shared" ref="F49:F50" si="22">D49*E49</f>
        <v>0</v>
      </c>
      <c r="G49" s="40"/>
      <c r="H49" s="40"/>
      <c r="I49" s="40"/>
      <c r="J49" s="40"/>
      <c r="K49" s="40"/>
      <c r="L49" s="40"/>
      <c r="M49" s="40"/>
      <c r="N49" s="40"/>
      <c r="O49" s="40"/>
      <c r="P49" s="40"/>
    </row>
    <row r="50" spans="1:22" x14ac:dyDescent="0.25">
      <c r="A50" s="36"/>
      <c r="B50" s="38" t="s">
        <v>38</v>
      </c>
      <c r="C50" s="37"/>
      <c r="D50" s="40">
        <f>D15</f>
        <v>0</v>
      </c>
      <c r="E50" s="40">
        <f>E15*0.9</f>
        <v>0</v>
      </c>
      <c r="F50" s="40">
        <f t="shared" si="22"/>
        <v>0</v>
      </c>
      <c r="G50" s="40"/>
      <c r="H50" s="40"/>
      <c r="I50" s="40"/>
      <c r="J50" s="40"/>
      <c r="K50" s="40"/>
      <c r="L50" s="40"/>
      <c r="M50" s="40"/>
      <c r="N50" s="40"/>
      <c r="O50" s="40"/>
      <c r="P50" s="40"/>
    </row>
    <row r="51" spans="1:22" x14ac:dyDescent="0.25">
      <c r="A51" s="36"/>
      <c r="B51" s="64" t="s">
        <v>229</v>
      </c>
      <c r="C51" s="37" t="s">
        <v>40</v>
      </c>
      <c r="D51" s="40"/>
      <c r="E51" s="40"/>
      <c r="F51" s="40">
        <f>F16*0.9</f>
        <v>9000</v>
      </c>
      <c r="G51" s="40">
        <f t="shared" ref="G51:U56" si="23">F51</f>
        <v>9000</v>
      </c>
      <c r="H51" s="40">
        <f t="shared" si="23"/>
        <v>9000</v>
      </c>
      <c r="I51" s="40">
        <f t="shared" si="23"/>
        <v>9000</v>
      </c>
      <c r="J51" s="40">
        <f t="shared" si="23"/>
        <v>9000</v>
      </c>
      <c r="K51" s="40">
        <f t="shared" si="23"/>
        <v>9000</v>
      </c>
      <c r="L51" s="40">
        <f t="shared" si="23"/>
        <v>9000</v>
      </c>
      <c r="M51" s="40">
        <f t="shared" si="23"/>
        <v>9000</v>
      </c>
      <c r="N51" s="40">
        <f t="shared" si="23"/>
        <v>9000</v>
      </c>
      <c r="O51" s="40">
        <f t="shared" si="23"/>
        <v>9000</v>
      </c>
      <c r="P51" s="40">
        <f t="shared" si="23"/>
        <v>9000</v>
      </c>
      <c r="Q51" s="40">
        <f t="shared" si="23"/>
        <v>9000</v>
      </c>
      <c r="R51" s="40">
        <f t="shared" si="23"/>
        <v>9000</v>
      </c>
      <c r="S51" s="40">
        <f t="shared" si="23"/>
        <v>9000</v>
      </c>
      <c r="T51" s="40">
        <f t="shared" si="23"/>
        <v>9000</v>
      </c>
      <c r="U51" s="40">
        <f t="shared" si="23"/>
        <v>9000</v>
      </c>
    </row>
    <row r="52" spans="1:22" x14ac:dyDescent="0.25">
      <c r="A52" s="36"/>
      <c r="B52" s="65" t="s">
        <v>230</v>
      </c>
      <c r="C52" s="37" t="s">
        <v>40</v>
      </c>
      <c r="D52" s="40"/>
      <c r="E52" s="40"/>
      <c r="F52" s="40">
        <f>F17*0.9</f>
        <v>270000</v>
      </c>
      <c r="G52" s="40">
        <f t="shared" si="23"/>
        <v>270000</v>
      </c>
      <c r="H52" s="40">
        <f t="shared" si="23"/>
        <v>270000</v>
      </c>
      <c r="I52" s="40">
        <f t="shared" si="23"/>
        <v>270000</v>
      </c>
      <c r="J52" s="40">
        <f t="shared" si="23"/>
        <v>270000</v>
      </c>
      <c r="K52" s="40">
        <f t="shared" si="23"/>
        <v>270000</v>
      </c>
      <c r="L52" s="40">
        <f t="shared" si="23"/>
        <v>270000</v>
      </c>
      <c r="M52" s="40">
        <f t="shared" si="23"/>
        <v>270000</v>
      </c>
      <c r="N52" s="40">
        <f t="shared" si="23"/>
        <v>270000</v>
      </c>
      <c r="O52" s="40">
        <f t="shared" si="23"/>
        <v>270000</v>
      </c>
      <c r="P52" s="40">
        <f t="shared" si="23"/>
        <v>270000</v>
      </c>
      <c r="Q52" s="40">
        <f t="shared" si="23"/>
        <v>270000</v>
      </c>
      <c r="R52" s="40">
        <f t="shared" si="23"/>
        <v>270000</v>
      </c>
      <c r="S52" s="40">
        <f t="shared" si="23"/>
        <v>270000</v>
      </c>
      <c r="T52" s="40">
        <f t="shared" si="23"/>
        <v>270000</v>
      </c>
      <c r="U52" s="40">
        <f t="shared" si="23"/>
        <v>270000</v>
      </c>
      <c r="V52" s="46"/>
    </row>
    <row r="53" spans="1:22" x14ac:dyDescent="0.25">
      <c r="A53" s="36"/>
      <c r="B53" s="45" t="s">
        <v>95</v>
      </c>
      <c r="C53" s="37" t="s">
        <v>40</v>
      </c>
      <c r="D53" s="40"/>
      <c r="E53" s="40"/>
      <c r="F53" s="40">
        <f>F18*0.9</f>
        <v>1728000</v>
      </c>
      <c r="G53" s="40">
        <f>F53</f>
        <v>1728000</v>
      </c>
      <c r="H53" s="40">
        <f>F53</f>
        <v>1728000</v>
      </c>
      <c r="I53" s="40">
        <f t="shared" si="23"/>
        <v>1728000</v>
      </c>
      <c r="J53" s="40">
        <f>J42*0.6</f>
        <v>2781000</v>
      </c>
      <c r="K53" s="40">
        <f t="shared" si="23"/>
        <v>2781000</v>
      </c>
      <c r="L53" s="40">
        <f t="shared" si="23"/>
        <v>2781000</v>
      </c>
      <c r="M53" s="40">
        <f t="shared" si="23"/>
        <v>2781000</v>
      </c>
      <c r="N53" s="40">
        <f t="shared" si="23"/>
        <v>2781000</v>
      </c>
      <c r="O53" s="40">
        <f t="shared" si="23"/>
        <v>2781000</v>
      </c>
      <c r="P53" s="40">
        <f t="shared" si="23"/>
        <v>2781000</v>
      </c>
      <c r="Q53" s="40">
        <f t="shared" si="23"/>
        <v>2781000</v>
      </c>
      <c r="R53" s="40">
        <f t="shared" si="23"/>
        <v>2781000</v>
      </c>
      <c r="S53" s="40">
        <f t="shared" si="23"/>
        <v>2781000</v>
      </c>
      <c r="T53" s="40">
        <f t="shared" si="23"/>
        <v>2781000</v>
      </c>
      <c r="U53" s="40">
        <f t="shared" si="23"/>
        <v>2781000</v>
      </c>
      <c r="V53" s="46"/>
    </row>
    <row r="54" spans="1:22" x14ac:dyDescent="0.25">
      <c r="A54" s="36"/>
      <c r="B54" s="45" t="s">
        <v>83</v>
      </c>
      <c r="C54" s="37" t="s">
        <v>40</v>
      </c>
      <c r="D54" s="40"/>
      <c r="E54" s="40"/>
      <c r="F54" s="40">
        <f>F19*0.8</f>
        <v>724000</v>
      </c>
      <c r="G54" s="40">
        <f>F54</f>
        <v>724000</v>
      </c>
      <c r="H54" s="40">
        <f>F54</f>
        <v>724000</v>
      </c>
      <c r="I54" s="40">
        <f>F54</f>
        <v>724000</v>
      </c>
      <c r="J54" s="40">
        <f>F54</f>
        <v>724000</v>
      </c>
      <c r="K54" s="40">
        <f>J54</f>
        <v>724000</v>
      </c>
      <c r="L54" s="40">
        <f t="shared" si="23"/>
        <v>724000</v>
      </c>
      <c r="M54" s="40">
        <f t="shared" si="23"/>
        <v>724000</v>
      </c>
      <c r="N54" s="40">
        <f t="shared" si="23"/>
        <v>724000</v>
      </c>
      <c r="O54" s="40">
        <f t="shared" si="23"/>
        <v>724000</v>
      </c>
      <c r="P54" s="40">
        <f t="shared" si="23"/>
        <v>724000</v>
      </c>
      <c r="Q54" s="40">
        <f t="shared" si="23"/>
        <v>724000</v>
      </c>
      <c r="R54" s="40">
        <f t="shared" si="23"/>
        <v>724000</v>
      </c>
      <c r="S54" s="40">
        <f t="shared" si="23"/>
        <v>724000</v>
      </c>
      <c r="T54" s="40">
        <f t="shared" si="23"/>
        <v>724000</v>
      </c>
      <c r="U54" s="40">
        <f t="shared" si="23"/>
        <v>724000</v>
      </c>
    </row>
    <row r="55" spans="1:22" x14ac:dyDescent="0.25">
      <c r="A55" s="36"/>
      <c r="B55" s="45"/>
      <c r="C55" s="37"/>
      <c r="D55" s="40"/>
      <c r="E55" s="40"/>
      <c r="F55" s="40"/>
      <c r="G55" s="40">
        <f>F55</f>
        <v>0</v>
      </c>
      <c r="H55" s="40">
        <f t="shared" ref="H55:H56" si="24">F55</f>
        <v>0</v>
      </c>
      <c r="I55" s="40">
        <f t="shared" ref="I55:I56" si="25">F55</f>
        <v>0</v>
      </c>
      <c r="J55" s="40">
        <f t="shared" ref="J55:J56" si="26">F55</f>
        <v>0</v>
      </c>
      <c r="K55" s="40">
        <f>J55</f>
        <v>0</v>
      </c>
      <c r="L55" s="40">
        <f t="shared" si="23"/>
        <v>0</v>
      </c>
      <c r="M55" s="40">
        <f t="shared" si="23"/>
        <v>0</v>
      </c>
      <c r="N55" s="40">
        <f t="shared" si="23"/>
        <v>0</v>
      </c>
      <c r="O55" s="40">
        <f t="shared" si="23"/>
        <v>0</v>
      </c>
      <c r="P55" s="40">
        <f t="shared" si="23"/>
        <v>0</v>
      </c>
      <c r="Q55" s="40">
        <f t="shared" si="23"/>
        <v>0</v>
      </c>
      <c r="R55" s="40">
        <f t="shared" si="23"/>
        <v>0</v>
      </c>
      <c r="S55" s="40">
        <f t="shared" si="23"/>
        <v>0</v>
      </c>
      <c r="T55" s="40">
        <f t="shared" si="23"/>
        <v>0</v>
      </c>
      <c r="U55" s="40">
        <f t="shared" si="23"/>
        <v>0</v>
      </c>
    </row>
    <row r="56" spans="1:22" x14ac:dyDescent="0.25">
      <c r="A56" s="36"/>
      <c r="B56" s="45" t="s">
        <v>228</v>
      </c>
      <c r="C56" s="37" t="s">
        <v>40</v>
      </c>
      <c r="D56" s="40"/>
      <c r="E56" s="40"/>
      <c r="F56" s="40">
        <f>F21*0.9</f>
        <v>8010</v>
      </c>
      <c r="G56" s="40">
        <f>F56</f>
        <v>8010</v>
      </c>
      <c r="H56" s="40">
        <f t="shared" si="24"/>
        <v>8010</v>
      </c>
      <c r="I56" s="40">
        <f t="shared" si="25"/>
        <v>8010</v>
      </c>
      <c r="J56" s="40">
        <f t="shared" si="26"/>
        <v>8010</v>
      </c>
      <c r="K56" s="40">
        <f>J56</f>
        <v>8010</v>
      </c>
      <c r="L56" s="40">
        <f t="shared" si="23"/>
        <v>8010</v>
      </c>
      <c r="M56" s="40">
        <f t="shared" si="23"/>
        <v>8010</v>
      </c>
      <c r="N56" s="40">
        <f t="shared" si="23"/>
        <v>8010</v>
      </c>
      <c r="O56" s="40">
        <f t="shared" si="23"/>
        <v>8010</v>
      </c>
      <c r="P56" s="40">
        <f t="shared" si="23"/>
        <v>8010</v>
      </c>
      <c r="Q56" s="40">
        <f t="shared" si="23"/>
        <v>8010</v>
      </c>
      <c r="R56" s="40">
        <f t="shared" si="23"/>
        <v>8010</v>
      </c>
      <c r="S56" s="40">
        <f t="shared" si="23"/>
        <v>8010</v>
      </c>
      <c r="T56" s="40">
        <f t="shared" si="23"/>
        <v>8010</v>
      </c>
      <c r="U56" s="40">
        <f t="shared" si="23"/>
        <v>8010</v>
      </c>
    </row>
    <row r="57" spans="1:22" x14ac:dyDescent="0.25">
      <c r="A57" s="36"/>
      <c r="B57" s="38" t="s">
        <v>44</v>
      </c>
      <c r="C57" s="37"/>
      <c r="D57" s="40">
        <f>D23</f>
        <v>0</v>
      </c>
      <c r="E57" s="40"/>
      <c r="F57" s="39">
        <f>SUM(F51:F56)</f>
        <v>2739010</v>
      </c>
      <c r="G57" s="39">
        <f t="shared" ref="G57:U57" si="27">SUM(G51:G56)</f>
        <v>2739010</v>
      </c>
      <c r="H57" s="39">
        <f t="shared" si="27"/>
        <v>2739010</v>
      </c>
      <c r="I57" s="39">
        <f t="shared" si="27"/>
        <v>2739010</v>
      </c>
      <c r="J57" s="39">
        <f t="shared" si="27"/>
        <v>3792010</v>
      </c>
      <c r="K57" s="39">
        <f t="shared" si="27"/>
        <v>3792010</v>
      </c>
      <c r="L57" s="39">
        <f t="shared" si="27"/>
        <v>3792010</v>
      </c>
      <c r="M57" s="39">
        <f t="shared" si="27"/>
        <v>3792010</v>
      </c>
      <c r="N57" s="39">
        <f t="shared" si="27"/>
        <v>3792010</v>
      </c>
      <c r="O57" s="39">
        <f t="shared" si="27"/>
        <v>3792010</v>
      </c>
      <c r="P57" s="39">
        <f t="shared" si="27"/>
        <v>3792010</v>
      </c>
      <c r="Q57" s="39">
        <f t="shared" si="27"/>
        <v>3792010</v>
      </c>
      <c r="R57" s="39">
        <f t="shared" si="27"/>
        <v>3792010</v>
      </c>
      <c r="S57" s="39">
        <f t="shared" si="27"/>
        <v>3792010</v>
      </c>
      <c r="T57" s="39">
        <f t="shared" si="27"/>
        <v>3792010</v>
      </c>
      <c r="U57" s="39">
        <f t="shared" si="27"/>
        <v>3792010</v>
      </c>
    </row>
    <row r="58" spans="1:22" x14ac:dyDescent="0.25">
      <c r="A58" s="36"/>
      <c r="B58" s="47"/>
      <c r="C58" s="37"/>
      <c r="D58" s="40">
        <f>D24</f>
        <v>0</v>
      </c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</row>
    <row r="59" spans="1:22" x14ac:dyDescent="0.25">
      <c r="A59" s="36"/>
      <c r="B59" s="38" t="s">
        <v>45</v>
      </c>
      <c r="C59" s="37"/>
      <c r="D59" s="40">
        <f>D25</f>
        <v>0</v>
      </c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</row>
    <row r="60" spans="1:22" x14ac:dyDescent="0.25">
      <c r="A60" s="36"/>
      <c r="B60" s="37" t="s">
        <v>46</v>
      </c>
      <c r="C60" s="37" t="s">
        <v>88</v>
      </c>
      <c r="D60" s="40">
        <f>D26</f>
        <v>1</v>
      </c>
      <c r="E60" s="40"/>
      <c r="F60" s="40">
        <f>D60*E60</f>
        <v>0</v>
      </c>
      <c r="G60" s="40">
        <f>F26*0.9</f>
        <v>18000</v>
      </c>
      <c r="H60" s="40">
        <f t="shared" ref="H60:U60" si="28">G26*0.9</f>
        <v>0</v>
      </c>
      <c r="I60" s="40">
        <f t="shared" si="28"/>
        <v>18000</v>
      </c>
      <c r="J60" s="40">
        <f t="shared" si="28"/>
        <v>18000</v>
      </c>
      <c r="K60" s="40">
        <f t="shared" si="28"/>
        <v>18000</v>
      </c>
      <c r="L60" s="40">
        <f t="shared" si="28"/>
        <v>18000</v>
      </c>
      <c r="M60" s="40">
        <f t="shared" si="28"/>
        <v>18000</v>
      </c>
      <c r="N60" s="40">
        <f t="shared" si="28"/>
        <v>18000</v>
      </c>
      <c r="O60" s="40">
        <f t="shared" si="28"/>
        <v>18000</v>
      </c>
      <c r="P60" s="40">
        <f t="shared" si="28"/>
        <v>18000</v>
      </c>
      <c r="Q60" s="40">
        <f t="shared" si="28"/>
        <v>18000</v>
      </c>
      <c r="R60" s="40">
        <f t="shared" si="28"/>
        <v>18000</v>
      </c>
      <c r="S60" s="40">
        <f t="shared" si="28"/>
        <v>18000</v>
      </c>
      <c r="T60" s="40">
        <f t="shared" si="28"/>
        <v>18000</v>
      </c>
      <c r="U60" s="40">
        <f t="shared" si="28"/>
        <v>18000</v>
      </c>
      <c r="V60" s="48">
        <f>SUM(H60:U60)</f>
        <v>234000</v>
      </c>
    </row>
    <row r="61" spans="1:22" x14ac:dyDescent="0.25">
      <c r="A61" s="36"/>
      <c r="B61" s="38" t="s">
        <v>48</v>
      </c>
      <c r="C61" s="37"/>
      <c r="D61" s="40"/>
      <c r="E61" s="40"/>
      <c r="F61" s="39">
        <f t="shared" ref="F61:U61" si="29">SUM(F60:F60)</f>
        <v>0</v>
      </c>
      <c r="G61" s="39">
        <f t="shared" si="29"/>
        <v>18000</v>
      </c>
      <c r="H61" s="39">
        <f t="shared" si="29"/>
        <v>0</v>
      </c>
      <c r="I61" s="39">
        <f t="shared" si="29"/>
        <v>18000</v>
      </c>
      <c r="J61" s="39">
        <f t="shared" si="29"/>
        <v>18000</v>
      </c>
      <c r="K61" s="39">
        <f t="shared" si="29"/>
        <v>18000</v>
      </c>
      <c r="L61" s="39">
        <f t="shared" si="29"/>
        <v>18000</v>
      </c>
      <c r="M61" s="39">
        <f t="shared" si="29"/>
        <v>18000</v>
      </c>
      <c r="N61" s="39">
        <f t="shared" si="29"/>
        <v>18000</v>
      </c>
      <c r="O61" s="39">
        <f t="shared" si="29"/>
        <v>18000</v>
      </c>
      <c r="P61" s="39">
        <f t="shared" si="29"/>
        <v>18000</v>
      </c>
      <c r="Q61" s="39">
        <f t="shared" si="29"/>
        <v>18000</v>
      </c>
      <c r="R61" s="39">
        <f t="shared" si="29"/>
        <v>18000</v>
      </c>
      <c r="S61" s="39">
        <f t="shared" si="29"/>
        <v>18000</v>
      </c>
      <c r="T61" s="39">
        <f t="shared" si="29"/>
        <v>18000</v>
      </c>
      <c r="U61" s="39">
        <f t="shared" si="29"/>
        <v>18000</v>
      </c>
    </row>
    <row r="62" spans="1:22" x14ac:dyDescent="0.25">
      <c r="A62" s="36"/>
      <c r="B62" s="38" t="s">
        <v>49</v>
      </c>
      <c r="C62" s="37"/>
      <c r="D62" s="40"/>
      <c r="E62" s="40"/>
      <c r="F62" s="39">
        <f t="shared" ref="F62:U62" si="30">F48+F57+F61</f>
        <v>5439010</v>
      </c>
      <c r="G62" s="39">
        <f t="shared" si="30"/>
        <v>5757010</v>
      </c>
      <c r="H62" s="39">
        <f t="shared" si="30"/>
        <v>2739010</v>
      </c>
      <c r="I62" s="39">
        <f t="shared" si="30"/>
        <v>2757010</v>
      </c>
      <c r="J62" s="39">
        <f t="shared" si="30"/>
        <v>3810010</v>
      </c>
      <c r="K62" s="39">
        <f t="shared" si="30"/>
        <v>3810010</v>
      </c>
      <c r="L62" s="39">
        <f t="shared" si="30"/>
        <v>3810010</v>
      </c>
      <c r="M62" s="39">
        <f t="shared" si="30"/>
        <v>3810010</v>
      </c>
      <c r="N62" s="39">
        <f t="shared" si="30"/>
        <v>3810010</v>
      </c>
      <c r="O62" s="39">
        <f t="shared" si="30"/>
        <v>3810010</v>
      </c>
      <c r="P62" s="39">
        <f t="shared" si="30"/>
        <v>3810010</v>
      </c>
      <c r="Q62" s="39">
        <f t="shared" si="30"/>
        <v>3810010</v>
      </c>
      <c r="R62" s="39">
        <f t="shared" si="30"/>
        <v>3820010</v>
      </c>
      <c r="S62" s="39">
        <f t="shared" si="30"/>
        <v>3810010</v>
      </c>
      <c r="T62" s="39">
        <f t="shared" si="30"/>
        <v>3810010</v>
      </c>
      <c r="U62" s="39">
        <f t="shared" si="30"/>
        <v>3820010</v>
      </c>
    </row>
    <row r="63" spans="1:22" x14ac:dyDescent="0.25">
      <c r="A63" s="36"/>
      <c r="B63" s="38"/>
      <c r="C63" s="37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</row>
    <row r="64" spans="1:22" x14ac:dyDescent="0.25">
      <c r="A64" s="36"/>
      <c r="B64" s="38" t="s">
        <v>50</v>
      </c>
      <c r="C64" s="37" t="s">
        <v>47</v>
      </c>
      <c r="D64" s="40"/>
      <c r="E64" s="40"/>
      <c r="F64" s="40"/>
      <c r="G64" s="39">
        <f t="shared" ref="G64:U64" si="31">G42-G48-G57</f>
        <v>-5739010</v>
      </c>
      <c r="H64" s="39">
        <f t="shared" si="31"/>
        <v>1895990</v>
      </c>
      <c r="I64" s="39">
        <f t="shared" si="31"/>
        <v>2410990</v>
      </c>
      <c r="J64" s="39">
        <f t="shared" si="31"/>
        <v>842990</v>
      </c>
      <c r="K64" s="39">
        <f t="shared" si="31"/>
        <v>842990</v>
      </c>
      <c r="L64" s="39">
        <f t="shared" si="31"/>
        <v>842990</v>
      </c>
      <c r="M64" s="39">
        <f t="shared" si="31"/>
        <v>842990</v>
      </c>
      <c r="N64" s="39">
        <f t="shared" si="31"/>
        <v>842990</v>
      </c>
      <c r="O64" s="39">
        <f t="shared" si="31"/>
        <v>842990</v>
      </c>
      <c r="P64" s="39">
        <f t="shared" si="31"/>
        <v>842990</v>
      </c>
      <c r="Q64" s="39">
        <f t="shared" si="31"/>
        <v>842990</v>
      </c>
      <c r="R64" s="39">
        <f t="shared" si="31"/>
        <v>832990</v>
      </c>
      <c r="S64" s="39">
        <f t="shared" si="31"/>
        <v>842990</v>
      </c>
      <c r="T64" s="39">
        <f t="shared" si="31"/>
        <v>842990</v>
      </c>
      <c r="U64" s="39">
        <f t="shared" si="31"/>
        <v>832990</v>
      </c>
    </row>
    <row r="65" spans="1:21" x14ac:dyDescent="0.25">
      <c r="A65" s="36"/>
      <c r="B65" s="38" t="s">
        <v>51</v>
      </c>
      <c r="C65" s="37" t="s">
        <v>47</v>
      </c>
      <c r="D65" s="40"/>
      <c r="E65" s="40"/>
      <c r="F65" s="40"/>
      <c r="G65" s="39">
        <f>G64-G61</f>
        <v>-5757010</v>
      </c>
      <c r="H65" s="39">
        <f>H64-H61</f>
        <v>1895990</v>
      </c>
      <c r="I65" s="39">
        <f>I64-I61</f>
        <v>2392990</v>
      </c>
      <c r="J65" s="39">
        <f>J64-J61</f>
        <v>824990</v>
      </c>
      <c r="K65" s="39">
        <f>K64-K61</f>
        <v>824990</v>
      </c>
      <c r="L65" s="39">
        <f t="shared" ref="L65:U65" si="32">L64-L61</f>
        <v>824990</v>
      </c>
      <c r="M65" s="39">
        <f t="shared" si="32"/>
        <v>824990</v>
      </c>
      <c r="N65" s="39">
        <f t="shared" si="32"/>
        <v>824990</v>
      </c>
      <c r="O65" s="39">
        <f t="shared" si="32"/>
        <v>824990</v>
      </c>
      <c r="P65" s="39">
        <f t="shared" si="32"/>
        <v>824990</v>
      </c>
      <c r="Q65" s="39">
        <f t="shared" si="32"/>
        <v>824990</v>
      </c>
      <c r="R65" s="39">
        <f t="shared" si="32"/>
        <v>814990</v>
      </c>
      <c r="S65" s="39">
        <f t="shared" si="32"/>
        <v>824990</v>
      </c>
      <c r="T65" s="39">
        <f t="shared" si="32"/>
        <v>824990</v>
      </c>
      <c r="U65" s="39">
        <f t="shared" si="32"/>
        <v>814990</v>
      </c>
    </row>
    <row r="66" spans="1:21" x14ac:dyDescent="0.25">
      <c r="A66" s="1"/>
      <c r="B66" s="140" t="s">
        <v>58</v>
      </c>
      <c r="C66" s="141"/>
      <c r="D66" s="141"/>
      <c r="E66" s="141"/>
      <c r="F66" s="142"/>
      <c r="G66" s="53">
        <f>IRR(G65:U65)</f>
        <v>0.20146258274613271</v>
      </c>
      <c r="H66" s="54"/>
      <c r="I66" s="54"/>
      <c r="J66" s="54"/>
      <c r="K66" s="54"/>
      <c r="L66" s="54"/>
      <c r="M66" s="54"/>
      <c r="N66" s="54"/>
      <c r="O66" s="54"/>
      <c r="P66" s="54"/>
    </row>
    <row r="67" spans="1:21" x14ac:dyDescent="0.25">
      <c r="A67" s="1"/>
      <c r="B67" s="140" t="s">
        <v>59</v>
      </c>
      <c r="C67" s="141"/>
      <c r="D67" s="141"/>
      <c r="E67" s="141"/>
      <c r="F67" s="142"/>
      <c r="G67" s="55">
        <f>NPV(0.1,G65:U65)</f>
        <v>2348908.5143579966</v>
      </c>
      <c r="H67" s="54"/>
      <c r="I67" s="54"/>
      <c r="J67" s="54"/>
      <c r="K67" s="54"/>
      <c r="L67" s="54"/>
      <c r="M67" s="54"/>
      <c r="N67" s="54"/>
      <c r="O67" s="54"/>
      <c r="P67" s="54"/>
    </row>
  </sheetData>
  <mergeCells count="8">
    <mergeCell ref="B66:F66"/>
    <mergeCell ref="B67:F67"/>
    <mergeCell ref="B1:P1"/>
    <mergeCell ref="G2:P2"/>
    <mergeCell ref="B32:F32"/>
    <mergeCell ref="B33:F33"/>
    <mergeCell ref="B36:P36"/>
    <mergeCell ref="G37:P3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1FEBD-AB9D-48DF-BEA1-E7932D7B7DA1}">
  <dimension ref="A1:V76"/>
  <sheetViews>
    <sheetView topLeftCell="A7" workbookViewId="0">
      <selection activeCell="B20" sqref="B20"/>
    </sheetView>
  </sheetViews>
  <sheetFormatPr defaultColWidth="15.7109375" defaultRowHeight="15" x14ac:dyDescent="0.25"/>
  <cols>
    <col min="2" max="2" width="26.85546875" customWidth="1"/>
  </cols>
  <sheetData>
    <row r="1" spans="1:21" x14ac:dyDescent="0.25">
      <c r="A1" s="36"/>
      <c r="B1" s="143" t="s">
        <v>18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</row>
    <row r="2" spans="1:21" x14ac:dyDescent="0.25">
      <c r="A2" s="36"/>
      <c r="B2" s="37"/>
      <c r="C2" s="38" t="s">
        <v>19</v>
      </c>
      <c r="D2" s="39" t="s">
        <v>20</v>
      </c>
      <c r="E2" s="39" t="s">
        <v>21</v>
      </c>
      <c r="F2" s="39" t="s">
        <v>22</v>
      </c>
      <c r="G2" s="144" t="s">
        <v>23</v>
      </c>
      <c r="H2" s="145"/>
      <c r="I2" s="145"/>
      <c r="J2" s="145"/>
      <c r="K2" s="145"/>
      <c r="L2" s="145"/>
      <c r="M2" s="145"/>
      <c r="N2" s="145"/>
      <c r="O2" s="145"/>
      <c r="P2" s="145"/>
    </row>
    <row r="3" spans="1:21" x14ac:dyDescent="0.25">
      <c r="A3" s="36"/>
      <c r="B3" s="38" t="s">
        <v>24</v>
      </c>
      <c r="C3" s="37"/>
      <c r="D3" s="40"/>
      <c r="E3" s="40"/>
      <c r="F3" s="40"/>
      <c r="G3" s="40">
        <v>1</v>
      </c>
      <c r="H3" s="40">
        <f t="shared" ref="H3:P3" si="0">G3+1</f>
        <v>2</v>
      </c>
      <c r="I3" s="40">
        <f t="shared" si="0"/>
        <v>3</v>
      </c>
      <c r="J3" s="40">
        <f t="shared" si="0"/>
        <v>4</v>
      </c>
      <c r="K3" s="40">
        <f t="shared" si="0"/>
        <v>5</v>
      </c>
      <c r="L3" s="40">
        <f t="shared" si="0"/>
        <v>6</v>
      </c>
      <c r="M3" s="40">
        <f t="shared" si="0"/>
        <v>7</v>
      </c>
      <c r="N3" s="40">
        <f t="shared" si="0"/>
        <v>8</v>
      </c>
      <c r="O3" s="40">
        <f t="shared" si="0"/>
        <v>9</v>
      </c>
      <c r="P3" s="40">
        <f t="shared" si="0"/>
        <v>10</v>
      </c>
      <c r="Q3">
        <v>11</v>
      </c>
      <c r="R3">
        <v>12</v>
      </c>
      <c r="S3">
        <v>13</v>
      </c>
      <c r="T3">
        <v>14</v>
      </c>
      <c r="U3">
        <v>15</v>
      </c>
    </row>
    <row r="4" spans="1:21" ht="35.25" customHeight="1" x14ac:dyDescent="0.25">
      <c r="A4" s="36"/>
      <c r="B4" s="61" t="s">
        <v>80</v>
      </c>
      <c r="C4" s="37" t="s">
        <v>36</v>
      </c>
      <c r="D4" s="40"/>
      <c r="E4" s="40"/>
      <c r="F4" s="40">
        <v>600000</v>
      </c>
      <c r="G4" s="40">
        <f>F4*0.5</f>
        <v>300000</v>
      </c>
      <c r="H4" s="40">
        <f>F4</f>
        <v>600000</v>
      </c>
      <c r="I4" s="40">
        <f>F4</f>
        <v>600000</v>
      </c>
      <c r="J4" s="40">
        <f>F4</f>
        <v>600000</v>
      </c>
      <c r="K4" s="40">
        <f t="shared" ref="K4:U5" si="1">J4</f>
        <v>600000</v>
      </c>
      <c r="L4" s="40">
        <f t="shared" si="1"/>
        <v>600000</v>
      </c>
      <c r="M4" s="40">
        <f t="shared" si="1"/>
        <v>600000</v>
      </c>
      <c r="N4" s="40">
        <f t="shared" si="1"/>
        <v>600000</v>
      </c>
      <c r="O4" s="40">
        <f t="shared" si="1"/>
        <v>600000</v>
      </c>
      <c r="P4" s="40">
        <f t="shared" si="1"/>
        <v>600000</v>
      </c>
      <c r="Q4" s="40">
        <f t="shared" si="1"/>
        <v>600000</v>
      </c>
      <c r="R4" s="40">
        <f t="shared" si="1"/>
        <v>600000</v>
      </c>
      <c r="S4" s="40">
        <f t="shared" si="1"/>
        <v>600000</v>
      </c>
      <c r="T4" s="40">
        <f t="shared" si="1"/>
        <v>600000</v>
      </c>
      <c r="U4" s="40">
        <f t="shared" si="1"/>
        <v>600000</v>
      </c>
    </row>
    <row r="5" spans="1:21" x14ac:dyDescent="0.25">
      <c r="A5" s="36"/>
      <c r="B5" s="62" t="s">
        <v>115</v>
      </c>
      <c r="C5" s="37" t="s">
        <v>36</v>
      </c>
      <c r="D5" s="40"/>
      <c r="E5" s="40"/>
      <c r="F5" s="40">
        <v>50000</v>
      </c>
      <c r="G5" s="40"/>
      <c r="H5" s="40">
        <f>F5</f>
        <v>50000</v>
      </c>
      <c r="I5" s="40">
        <f>H5</f>
        <v>50000</v>
      </c>
      <c r="J5" s="40">
        <f>H5</f>
        <v>50000</v>
      </c>
      <c r="K5" s="40">
        <f t="shared" si="1"/>
        <v>50000</v>
      </c>
      <c r="L5" s="40">
        <f t="shared" si="1"/>
        <v>50000</v>
      </c>
      <c r="M5" s="40">
        <f t="shared" si="1"/>
        <v>50000</v>
      </c>
      <c r="N5" s="40">
        <f t="shared" si="1"/>
        <v>50000</v>
      </c>
      <c r="O5" s="40">
        <f t="shared" si="1"/>
        <v>50000</v>
      </c>
      <c r="P5" s="40">
        <f t="shared" si="1"/>
        <v>50000</v>
      </c>
      <c r="Q5" s="40">
        <f t="shared" si="1"/>
        <v>50000</v>
      </c>
      <c r="R5" s="40">
        <f t="shared" si="1"/>
        <v>50000</v>
      </c>
      <c r="S5" s="40">
        <f t="shared" si="1"/>
        <v>50000</v>
      </c>
      <c r="T5" s="40">
        <f t="shared" si="1"/>
        <v>50000</v>
      </c>
      <c r="U5" s="40">
        <f t="shared" si="1"/>
        <v>50000</v>
      </c>
    </row>
    <row r="6" spans="1:21" x14ac:dyDescent="0.25">
      <c r="A6" s="36"/>
      <c r="B6" s="38" t="s">
        <v>30</v>
      </c>
      <c r="C6" s="37"/>
      <c r="D6" s="40"/>
      <c r="E6" s="40"/>
      <c r="F6" s="39">
        <f t="shared" ref="F6:U6" si="2">SUM(F4:F5)</f>
        <v>650000</v>
      </c>
      <c r="G6" s="39">
        <f t="shared" si="2"/>
        <v>300000</v>
      </c>
      <c r="H6" s="39">
        <f t="shared" si="2"/>
        <v>650000</v>
      </c>
      <c r="I6" s="39">
        <f t="shared" si="2"/>
        <v>650000</v>
      </c>
      <c r="J6" s="39">
        <f t="shared" si="2"/>
        <v>650000</v>
      </c>
      <c r="K6" s="39">
        <f t="shared" si="2"/>
        <v>650000</v>
      </c>
      <c r="L6" s="39">
        <f t="shared" si="2"/>
        <v>650000</v>
      </c>
      <c r="M6" s="39">
        <f t="shared" si="2"/>
        <v>650000</v>
      </c>
      <c r="N6" s="39">
        <f t="shared" si="2"/>
        <v>650000</v>
      </c>
      <c r="O6" s="39">
        <f t="shared" si="2"/>
        <v>650000</v>
      </c>
      <c r="P6" s="39">
        <f t="shared" si="2"/>
        <v>650000</v>
      </c>
      <c r="Q6" s="39">
        <f t="shared" si="2"/>
        <v>650000</v>
      </c>
      <c r="R6" s="39">
        <f t="shared" si="2"/>
        <v>650000</v>
      </c>
      <c r="S6" s="39">
        <f t="shared" si="2"/>
        <v>650000</v>
      </c>
      <c r="T6" s="39">
        <f t="shared" si="2"/>
        <v>650000</v>
      </c>
      <c r="U6" s="39">
        <f t="shared" si="2"/>
        <v>650000</v>
      </c>
    </row>
    <row r="7" spans="1:21" x14ac:dyDescent="0.25">
      <c r="A7" s="36"/>
      <c r="B7" s="37"/>
      <c r="C7" s="37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</row>
    <row r="8" spans="1:21" x14ac:dyDescent="0.25">
      <c r="A8" s="36"/>
      <c r="B8" s="43" t="s">
        <v>31</v>
      </c>
      <c r="C8" s="37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</row>
    <row r="9" spans="1:21" x14ac:dyDescent="0.25">
      <c r="A9" s="36"/>
      <c r="B9" s="38" t="s">
        <v>32</v>
      </c>
      <c r="C9" s="37"/>
      <c r="D9" s="40"/>
      <c r="E9" s="40"/>
      <c r="F9" s="44"/>
      <c r="G9" s="40"/>
      <c r="H9" s="40"/>
      <c r="I9" s="40"/>
      <c r="J9" s="40"/>
      <c r="K9" s="40"/>
      <c r="L9" s="40"/>
      <c r="M9" s="40"/>
      <c r="N9" s="40"/>
      <c r="O9" s="40"/>
      <c r="P9" s="40"/>
    </row>
    <row r="10" spans="1:21" x14ac:dyDescent="0.25">
      <c r="A10" s="36"/>
      <c r="B10" s="63" t="s">
        <v>81</v>
      </c>
      <c r="C10" s="37" t="s">
        <v>36</v>
      </c>
      <c r="D10" s="40">
        <v>1</v>
      </c>
      <c r="E10" s="40">
        <v>100000</v>
      </c>
      <c r="F10" s="40">
        <f>D10*E10</f>
        <v>100000</v>
      </c>
      <c r="G10" s="40">
        <f>D10*E10</f>
        <v>100000</v>
      </c>
      <c r="H10" s="40">
        <v>0</v>
      </c>
      <c r="I10" s="40">
        <v>0</v>
      </c>
      <c r="J10" s="40">
        <v>0</v>
      </c>
      <c r="K10" s="40"/>
      <c r="L10" s="40"/>
      <c r="M10" s="40"/>
      <c r="N10" s="40"/>
      <c r="O10" s="40"/>
      <c r="P10" s="40">
        <f>K10</f>
        <v>0</v>
      </c>
      <c r="U10" s="48"/>
    </row>
    <row r="11" spans="1:21" x14ac:dyDescent="0.25">
      <c r="A11" s="36"/>
      <c r="B11" s="63" t="s">
        <v>89</v>
      </c>
      <c r="C11" s="37" t="s">
        <v>36</v>
      </c>
      <c r="D11" s="40">
        <v>1</v>
      </c>
      <c r="E11" s="40">
        <v>20000</v>
      </c>
      <c r="F11" s="40">
        <f>D11*E11</f>
        <v>20000</v>
      </c>
      <c r="G11" s="40">
        <f>D11*E11</f>
        <v>20000</v>
      </c>
      <c r="H11" s="40">
        <v>0</v>
      </c>
      <c r="I11" s="40">
        <v>0</v>
      </c>
      <c r="J11" s="40">
        <v>0</v>
      </c>
      <c r="K11" s="40">
        <v>0</v>
      </c>
      <c r="L11" s="40"/>
      <c r="M11" s="40"/>
      <c r="N11" s="40"/>
      <c r="O11" s="40"/>
      <c r="P11" s="40"/>
    </row>
    <row r="12" spans="1:21" x14ac:dyDescent="0.25">
      <c r="A12" s="36"/>
      <c r="B12" s="38" t="s">
        <v>37</v>
      </c>
      <c r="C12" s="37"/>
      <c r="D12" s="40"/>
      <c r="E12" s="40"/>
      <c r="F12" s="39">
        <f t="shared" ref="F12:U12" si="3">SUM(F10:F11)</f>
        <v>120000</v>
      </c>
      <c r="G12" s="39">
        <f t="shared" si="3"/>
        <v>120000</v>
      </c>
      <c r="H12" s="39">
        <f t="shared" si="3"/>
        <v>0</v>
      </c>
      <c r="I12" s="39">
        <f t="shared" si="3"/>
        <v>0</v>
      </c>
      <c r="J12" s="39">
        <f t="shared" si="3"/>
        <v>0</v>
      </c>
      <c r="K12" s="39">
        <f t="shared" si="3"/>
        <v>0</v>
      </c>
      <c r="L12" s="39">
        <f t="shared" si="3"/>
        <v>0</v>
      </c>
      <c r="M12" s="39">
        <f t="shared" si="3"/>
        <v>0</v>
      </c>
      <c r="N12" s="39">
        <f t="shared" si="3"/>
        <v>0</v>
      </c>
      <c r="O12" s="39">
        <f t="shared" si="3"/>
        <v>0</v>
      </c>
      <c r="P12" s="39">
        <f t="shared" si="3"/>
        <v>0</v>
      </c>
      <c r="Q12" s="39">
        <f t="shared" si="3"/>
        <v>0</v>
      </c>
      <c r="R12" s="39">
        <f t="shared" si="3"/>
        <v>0</v>
      </c>
      <c r="S12" s="39">
        <f t="shared" si="3"/>
        <v>0</v>
      </c>
      <c r="T12" s="39">
        <f t="shared" si="3"/>
        <v>0</v>
      </c>
      <c r="U12" s="39">
        <f t="shared" si="3"/>
        <v>0</v>
      </c>
    </row>
    <row r="13" spans="1:21" x14ac:dyDescent="0.25">
      <c r="A13" s="36"/>
      <c r="B13" s="37"/>
      <c r="C13" s="37"/>
      <c r="D13" s="40"/>
      <c r="E13" s="40"/>
      <c r="F13" s="40">
        <f t="shared" ref="F13:F14" si="4">D13*E13</f>
        <v>0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</row>
    <row r="14" spans="1:21" x14ac:dyDescent="0.25">
      <c r="A14" s="36"/>
      <c r="B14" s="38" t="s">
        <v>38</v>
      </c>
      <c r="C14" s="37"/>
      <c r="D14" s="40"/>
      <c r="E14" s="40"/>
      <c r="F14" s="40">
        <f t="shared" si="4"/>
        <v>0</v>
      </c>
      <c r="G14" s="40"/>
      <c r="H14" s="40"/>
      <c r="I14" s="40"/>
      <c r="J14" s="40"/>
      <c r="K14" s="40"/>
      <c r="L14" s="40"/>
      <c r="M14" s="40"/>
      <c r="N14" s="40"/>
      <c r="O14" s="40"/>
      <c r="P14" s="40"/>
    </row>
    <row r="15" spans="1:21" x14ac:dyDescent="0.25">
      <c r="B15" s="64" t="s">
        <v>90</v>
      </c>
      <c r="C15" s="37" t="s">
        <v>40</v>
      </c>
      <c r="D15" s="40"/>
      <c r="E15" s="40"/>
      <c r="F15" s="40">
        <f>F4*0.75</f>
        <v>450000</v>
      </c>
      <c r="G15" s="40">
        <f>F15*0.5</f>
        <v>225000</v>
      </c>
      <c r="H15" s="40">
        <f>F15</f>
        <v>450000</v>
      </c>
      <c r="I15" s="40">
        <f t="shared" ref="I15:U19" si="5">H15</f>
        <v>450000</v>
      </c>
      <c r="J15" s="40">
        <f t="shared" si="5"/>
        <v>450000</v>
      </c>
      <c r="K15" s="40">
        <f t="shared" si="5"/>
        <v>450000</v>
      </c>
      <c r="L15" s="40">
        <f t="shared" si="5"/>
        <v>450000</v>
      </c>
      <c r="M15" s="40">
        <f t="shared" si="5"/>
        <v>450000</v>
      </c>
      <c r="N15" s="40">
        <f t="shared" si="5"/>
        <v>450000</v>
      </c>
      <c r="O15" s="40">
        <f t="shared" si="5"/>
        <v>450000</v>
      </c>
      <c r="P15" s="40">
        <f t="shared" si="5"/>
        <v>450000</v>
      </c>
      <c r="Q15" s="40">
        <f t="shared" si="5"/>
        <v>450000</v>
      </c>
      <c r="R15" s="40">
        <f t="shared" si="5"/>
        <v>450000</v>
      </c>
      <c r="S15" s="40">
        <f t="shared" si="5"/>
        <v>450000</v>
      </c>
      <c r="T15" s="40">
        <f t="shared" si="5"/>
        <v>450000</v>
      </c>
      <c r="U15" s="40">
        <f t="shared" si="5"/>
        <v>450000</v>
      </c>
    </row>
    <row r="16" spans="1:21" x14ac:dyDescent="0.25">
      <c r="B16" s="65" t="s">
        <v>91</v>
      </c>
      <c r="C16" s="37" t="s">
        <v>40</v>
      </c>
      <c r="D16" s="40"/>
      <c r="E16" s="40"/>
      <c r="F16" s="40">
        <v>30000</v>
      </c>
      <c r="G16" s="40"/>
      <c r="H16" s="40">
        <f>F16</f>
        <v>30000</v>
      </c>
      <c r="I16" s="40">
        <f t="shared" si="5"/>
        <v>30000</v>
      </c>
      <c r="J16" s="40">
        <f t="shared" si="5"/>
        <v>30000</v>
      </c>
      <c r="K16" s="40">
        <f t="shared" si="5"/>
        <v>30000</v>
      </c>
      <c r="L16" s="40">
        <f t="shared" si="5"/>
        <v>30000</v>
      </c>
      <c r="M16" s="40">
        <f t="shared" si="5"/>
        <v>30000</v>
      </c>
      <c r="N16" s="40">
        <f t="shared" si="5"/>
        <v>30000</v>
      </c>
      <c r="O16" s="40">
        <f t="shared" si="5"/>
        <v>30000</v>
      </c>
      <c r="P16" s="40">
        <f t="shared" si="5"/>
        <v>30000</v>
      </c>
      <c r="Q16" s="40">
        <f t="shared" si="5"/>
        <v>30000</v>
      </c>
      <c r="R16" s="40">
        <f t="shared" si="5"/>
        <v>30000</v>
      </c>
      <c r="S16" s="40">
        <f t="shared" si="5"/>
        <v>30000</v>
      </c>
      <c r="T16" s="40">
        <f t="shared" si="5"/>
        <v>30000</v>
      </c>
      <c r="U16" s="40">
        <f t="shared" si="5"/>
        <v>30000</v>
      </c>
    </row>
    <row r="17" spans="1:22" x14ac:dyDescent="0.25">
      <c r="A17" s="36"/>
      <c r="B17" s="45" t="s">
        <v>41</v>
      </c>
      <c r="C17" s="37" t="s">
        <v>40</v>
      </c>
      <c r="D17" s="40">
        <v>200</v>
      </c>
      <c r="E17" s="40">
        <v>450</v>
      </c>
      <c r="F17" s="40">
        <f>D17*E17</f>
        <v>90000</v>
      </c>
      <c r="G17" s="40">
        <f>F17*0.75</f>
        <v>67500</v>
      </c>
      <c r="H17" s="40">
        <f>F17</f>
        <v>90000</v>
      </c>
      <c r="I17" s="40">
        <f t="shared" si="5"/>
        <v>90000</v>
      </c>
      <c r="J17" s="40">
        <f t="shared" si="5"/>
        <v>90000</v>
      </c>
      <c r="K17" s="40">
        <f t="shared" si="5"/>
        <v>90000</v>
      </c>
      <c r="L17" s="40">
        <f t="shared" si="5"/>
        <v>90000</v>
      </c>
      <c r="M17" s="40">
        <f t="shared" si="5"/>
        <v>90000</v>
      </c>
      <c r="N17" s="40">
        <f t="shared" si="5"/>
        <v>90000</v>
      </c>
      <c r="O17" s="40">
        <f t="shared" si="5"/>
        <v>90000</v>
      </c>
      <c r="P17" s="40">
        <f t="shared" si="5"/>
        <v>90000</v>
      </c>
      <c r="Q17" s="40">
        <f t="shared" si="5"/>
        <v>90000</v>
      </c>
      <c r="R17" s="40">
        <f t="shared" si="5"/>
        <v>90000</v>
      </c>
      <c r="S17" s="40">
        <f t="shared" si="5"/>
        <v>90000</v>
      </c>
      <c r="T17" s="40">
        <f t="shared" si="5"/>
        <v>90000</v>
      </c>
      <c r="U17" s="40">
        <f t="shared" si="5"/>
        <v>90000</v>
      </c>
    </row>
    <row r="18" spans="1:22" x14ac:dyDescent="0.25">
      <c r="A18" s="36"/>
      <c r="B18" s="45" t="s">
        <v>92</v>
      </c>
      <c r="C18" s="37" t="s">
        <v>40</v>
      </c>
      <c r="D18" s="40"/>
      <c r="E18" s="40"/>
      <c r="F18" s="40">
        <v>10000</v>
      </c>
      <c r="G18" s="40">
        <f>F18</f>
        <v>10000</v>
      </c>
      <c r="H18" s="40">
        <f>G18</f>
        <v>10000</v>
      </c>
      <c r="I18" s="40">
        <f t="shared" si="5"/>
        <v>10000</v>
      </c>
      <c r="J18" s="40">
        <f t="shared" si="5"/>
        <v>10000</v>
      </c>
      <c r="K18" s="40">
        <f t="shared" si="5"/>
        <v>10000</v>
      </c>
      <c r="L18" s="40">
        <f t="shared" si="5"/>
        <v>10000</v>
      </c>
      <c r="M18" s="40">
        <f t="shared" si="5"/>
        <v>10000</v>
      </c>
      <c r="N18" s="40">
        <f t="shared" si="5"/>
        <v>10000</v>
      </c>
      <c r="O18" s="40">
        <f t="shared" si="5"/>
        <v>10000</v>
      </c>
      <c r="P18" s="40">
        <f t="shared" si="5"/>
        <v>10000</v>
      </c>
      <c r="Q18" s="40">
        <f t="shared" si="5"/>
        <v>10000</v>
      </c>
      <c r="R18" s="40">
        <f t="shared" si="5"/>
        <v>10000</v>
      </c>
      <c r="S18" s="40">
        <f t="shared" si="5"/>
        <v>10000</v>
      </c>
      <c r="T18" s="40">
        <f t="shared" si="5"/>
        <v>10000</v>
      </c>
      <c r="U18" s="40">
        <f t="shared" si="5"/>
        <v>10000</v>
      </c>
      <c r="V18" s="46"/>
    </row>
    <row r="19" spans="1:22" x14ac:dyDescent="0.25">
      <c r="A19" s="36"/>
      <c r="B19" s="45" t="s">
        <v>236</v>
      </c>
      <c r="C19" s="37" t="s">
        <v>40</v>
      </c>
      <c r="D19" s="40"/>
      <c r="E19" s="40"/>
      <c r="F19" s="40">
        <f>F4*0.01</f>
        <v>6000</v>
      </c>
      <c r="G19" s="40">
        <f>F19</f>
        <v>6000</v>
      </c>
      <c r="H19" s="40">
        <f>F19</f>
        <v>6000</v>
      </c>
      <c r="I19" s="40">
        <f t="shared" si="5"/>
        <v>6000</v>
      </c>
      <c r="J19" s="40">
        <f t="shared" si="5"/>
        <v>6000</v>
      </c>
      <c r="K19" s="40">
        <f t="shared" si="5"/>
        <v>6000</v>
      </c>
      <c r="L19" s="40">
        <f t="shared" si="5"/>
        <v>6000</v>
      </c>
      <c r="M19" s="40">
        <f t="shared" si="5"/>
        <v>6000</v>
      </c>
      <c r="N19" s="40">
        <f t="shared" si="5"/>
        <v>6000</v>
      </c>
      <c r="O19" s="40">
        <f t="shared" si="5"/>
        <v>6000</v>
      </c>
      <c r="P19" s="40">
        <f t="shared" si="5"/>
        <v>6000</v>
      </c>
      <c r="Q19" s="40">
        <f t="shared" si="5"/>
        <v>6000</v>
      </c>
      <c r="R19" s="40">
        <f t="shared" si="5"/>
        <v>6000</v>
      </c>
      <c r="S19" s="40">
        <f t="shared" si="5"/>
        <v>6000</v>
      </c>
      <c r="T19" s="40">
        <f t="shared" si="5"/>
        <v>6000</v>
      </c>
      <c r="U19" s="40">
        <f t="shared" si="5"/>
        <v>6000</v>
      </c>
      <c r="V19" s="46"/>
    </row>
    <row r="20" spans="1:22" x14ac:dyDescent="0.25">
      <c r="A20" s="36"/>
      <c r="B20" s="45" t="s">
        <v>84</v>
      </c>
      <c r="C20" s="37" t="s">
        <v>40</v>
      </c>
      <c r="D20" s="40"/>
      <c r="E20" s="40"/>
      <c r="F20" s="40">
        <f>F4*0.01</f>
        <v>6000</v>
      </c>
      <c r="G20" s="40">
        <f t="shared" ref="G20:U20" si="6">F20</f>
        <v>6000</v>
      </c>
      <c r="H20" s="40">
        <f t="shared" si="6"/>
        <v>6000</v>
      </c>
      <c r="I20" s="40">
        <f t="shared" si="6"/>
        <v>6000</v>
      </c>
      <c r="J20" s="40">
        <f t="shared" si="6"/>
        <v>6000</v>
      </c>
      <c r="K20" s="40">
        <f t="shared" si="6"/>
        <v>6000</v>
      </c>
      <c r="L20" s="40">
        <f t="shared" si="6"/>
        <v>6000</v>
      </c>
      <c r="M20" s="40">
        <f t="shared" si="6"/>
        <v>6000</v>
      </c>
      <c r="N20" s="40">
        <f t="shared" si="6"/>
        <v>6000</v>
      </c>
      <c r="O20" s="40">
        <f t="shared" si="6"/>
        <v>6000</v>
      </c>
      <c r="P20" s="40">
        <f t="shared" si="6"/>
        <v>6000</v>
      </c>
      <c r="Q20" s="40">
        <f t="shared" si="6"/>
        <v>6000</v>
      </c>
      <c r="R20" s="40">
        <f t="shared" si="6"/>
        <v>6000</v>
      </c>
      <c r="S20" s="40">
        <f t="shared" si="6"/>
        <v>6000</v>
      </c>
      <c r="T20" s="40">
        <f t="shared" si="6"/>
        <v>6000</v>
      </c>
      <c r="U20" s="40">
        <f t="shared" si="6"/>
        <v>6000</v>
      </c>
      <c r="V20" s="46"/>
    </row>
    <row r="21" spans="1:22" x14ac:dyDescent="0.25">
      <c r="A21" s="36"/>
      <c r="B21" s="45"/>
      <c r="C21" s="37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</row>
    <row r="22" spans="1:22" x14ac:dyDescent="0.25">
      <c r="A22" s="36"/>
      <c r="B22" s="38" t="s">
        <v>44</v>
      </c>
      <c r="C22" s="37"/>
      <c r="D22" s="40"/>
      <c r="E22" s="40"/>
      <c r="F22" s="39">
        <f>SUM(F15:F21)</f>
        <v>592000</v>
      </c>
      <c r="G22" s="39">
        <f t="shared" ref="G22:U22" si="7">SUM(G15:G21)</f>
        <v>314500</v>
      </c>
      <c r="H22" s="39">
        <f t="shared" si="7"/>
        <v>592000</v>
      </c>
      <c r="I22" s="39">
        <f t="shared" si="7"/>
        <v>592000</v>
      </c>
      <c r="J22" s="39">
        <f t="shared" si="7"/>
        <v>592000</v>
      </c>
      <c r="K22" s="39">
        <f t="shared" si="7"/>
        <v>592000</v>
      </c>
      <c r="L22" s="39">
        <f t="shared" si="7"/>
        <v>592000</v>
      </c>
      <c r="M22" s="39">
        <f t="shared" si="7"/>
        <v>592000</v>
      </c>
      <c r="N22" s="39">
        <f t="shared" si="7"/>
        <v>592000</v>
      </c>
      <c r="O22" s="39">
        <f t="shared" si="7"/>
        <v>592000</v>
      </c>
      <c r="P22" s="39">
        <f t="shared" si="7"/>
        <v>592000</v>
      </c>
      <c r="Q22" s="39">
        <f t="shared" si="7"/>
        <v>592000</v>
      </c>
      <c r="R22" s="39">
        <f t="shared" si="7"/>
        <v>592000</v>
      </c>
      <c r="S22" s="39">
        <f t="shared" si="7"/>
        <v>592000</v>
      </c>
      <c r="T22" s="39">
        <f t="shared" si="7"/>
        <v>592000</v>
      </c>
      <c r="U22" s="39">
        <f t="shared" si="7"/>
        <v>592000</v>
      </c>
    </row>
    <row r="23" spans="1:22" x14ac:dyDescent="0.25">
      <c r="A23" s="36"/>
      <c r="B23" s="47"/>
      <c r="C23" s="37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</row>
    <row r="24" spans="1:22" x14ac:dyDescent="0.25">
      <c r="A24" s="36"/>
      <c r="B24" s="38" t="s">
        <v>45</v>
      </c>
      <c r="C24" s="37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</row>
    <row r="25" spans="1:22" x14ac:dyDescent="0.25">
      <c r="A25" s="36"/>
      <c r="B25" s="37" t="s">
        <v>46</v>
      </c>
      <c r="C25" s="37" t="s">
        <v>47</v>
      </c>
      <c r="D25" s="40">
        <v>1</v>
      </c>
      <c r="E25" s="49">
        <f>E10/15</f>
        <v>6666.666666666667</v>
      </c>
      <c r="F25" s="40">
        <f>D25*E25</f>
        <v>6666.666666666667</v>
      </c>
      <c r="G25" s="40">
        <f>F25</f>
        <v>6666.666666666667</v>
      </c>
      <c r="H25" s="40">
        <f>D25*E25</f>
        <v>6666.666666666667</v>
      </c>
      <c r="I25" s="40">
        <f t="shared" ref="I25:U25" si="8">H25</f>
        <v>6666.666666666667</v>
      </c>
      <c r="J25" s="40">
        <f t="shared" si="8"/>
        <v>6666.666666666667</v>
      </c>
      <c r="K25" s="40">
        <f t="shared" si="8"/>
        <v>6666.666666666667</v>
      </c>
      <c r="L25" s="40">
        <f t="shared" si="8"/>
        <v>6666.666666666667</v>
      </c>
      <c r="M25" s="40">
        <f t="shared" si="8"/>
        <v>6666.666666666667</v>
      </c>
      <c r="N25" s="40">
        <f t="shared" si="8"/>
        <v>6666.666666666667</v>
      </c>
      <c r="O25" s="40">
        <f t="shared" si="8"/>
        <v>6666.666666666667</v>
      </c>
      <c r="P25" s="40">
        <f t="shared" si="8"/>
        <v>6666.666666666667</v>
      </c>
      <c r="Q25" s="40">
        <f t="shared" si="8"/>
        <v>6666.666666666667</v>
      </c>
      <c r="R25" s="40">
        <f t="shared" si="8"/>
        <v>6666.666666666667</v>
      </c>
      <c r="S25" s="40">
        <f t="shared" si="8"/>
        <v>6666.666666666667</v>
      </c>
      <c r="T25" s="40">
        <f t="shared" si="8"/>
        <v>6666.666666666667</v>
      </c>
      <c r="U25" s="40">
        <f t="shared" si="8"/>
        <v>6666.666666666667</v>
      </c>
      <c r="V25" s="48">
        <f>SUM(H25:U25)</f>
        <v>93333.333333333343</v>
      </c>
    </row>
    <row r="26" spans="1:22" x14ac:dyDescent="0.25">
      <c r="A26" s="36"/>
      <c r="B26" s="38" t="s">
        <v>48</v>
      </c>
      <c r="C26" s="37"/>
      <c r="D26" s="40"/>
      <c r="E26" s="40"/>
      <c r="F26" s="39">
        <f t="shared" ref="F26:U26" si="9">SUM(F25:F25)</f>
        <v>6666.666666666667</v>
      </c>
      <c r="G26" s="39">
        <f t="shared" si="9"/>
        <v>6666.666666666667</v>
      </c>
      <c r="H26" s="39">
        <f t="shared" si="9"/>
        <v>6666.666666666667</v>
      </c>
      <c r="I26" s="39">
        <f t="shared" si="9"/>
        <v>6666.666666666667</v>
      </c>
      <c r="J26" s="39">
        <f t="shared" si="9"/>
        <v>6666.666666666667</v>
      </c>
      <c r="K26" s="39">
        <f t="shared" si="9"/>
        <v>6666.666666666667</v>
      </c>
      <c r="L26" s="39">
        <f t="shared" si="9"/>
        <v>6666.666666666667</v>
      </c>
      <c r="M26" s="39">
        <f t="shared" si="9"/>
        <v>6666.666666666667</v>
      </c>
      <c r="N26" s="39">
        <f t="shared" si="9"/>
        <v>6666.666666666667</v>
      </c>
      <c r="O26" s="39">
        <f t="shared" si="9"/>
        <v>6666.666666666667</v>
      </c>
      <c r="P26" s="39">
        <f t="shared" si="9"/>
        <v>6666.666666666667</v>
      </c>
      <c r="Q26" s="39">
        <f t="shared" si="9"/>
        <v>6666.666666666667</v>
      </c>
      <c r="R26" s="39">
        <f t="shared" si="9"/>
        <v>6666.666666666667</v>
      </c>
      <c r="S26" s="39">
        <f t="shared" si="9"/>
        <v>6666.666666666667</v>
      </c>
      <c r="T26" s="39">
        <f t="shared" si="9"/>
        <v>6666.666666666667</v>
      </c>
      <c r="U26" s="39">
        <f t="shared" si="9"/>
        <v>6666.666666666667</v>
      </c>
    </row>
    <row r="27" spans="1:22" x14ac:dyDescent="0.25">
      <c r="A27" s="36"/>
      <c r="B27" s="38" t="s">
        <v>49</v>
      </c>
      <c r="C27" s="37"/>
      <c r="D27" s="40"/>
      <c r="E27" s="40"/>
      <c r="F27" s="39">
        <f t="shared" ref="F27:U27" si="10">F12+F22+F26</f>
        <v>718666.66666666663</v>
      </c>
      <c r="G27" s="39">
        <f t="shared" si="10"/>
        <v>441166.66666666669</v>
      </c>
      <c r="H27" s="39">
        <f t="shared" si="10"/>
        <v>598666.66666666663</v>
      </c>
      <c r="I27" s="39">
        <f t="shared" si="10"/>
        <v>598666.66666666663</v>
      </c>
      <c r="J27" s="39">
        <f t="shared" si="10"/>
        <v>598666.66666666663</v>
      </c>
      <c r="K27" s="39">
        <f t="shared" si="10"/>
        <v>598666.66666666663</v>
      </c>
      <c r="L27" s="39">
        <f t="shared" si="10"/>
        <v>598666.66666666663</v>
      </c>
      <c r="M27" s="39">
        <f t="shared" si="10"/>
        <v>598666.66666666663</v>
      </c>
      <c r="N27" s="39">
        <f t="shared" si="10"/>
        <v>598666.66666666663</v>
      </c>
      <c r="O27" s="39">
        <f t="shared" si="10"/>
        <v>598666.66666666663</v>
      </c>
      <c r="P27" s="39">
        <f t="shared" si="10"/>
        <v>598666.66666666663</v>
      </c>
      <c r="Q27" s="39">
        <f t="shared" si="10"/>
        <v>598666.66666666663</v>
      </c>
      <c r="R27" s="39">
        <f t="shared" si="10"/>
        <v>598666.66666666663</v>
      </c>
      <c r="S27" s="39">
        <f t="shared" si="10"/>
        <v>598666.66666666663</v>
      </c>
      <c r="T27" s="39">
        <f t="shared" si="10"/>
        <v>598666.66666666663</v>
      </c>
      <c r="U27" s="39">
        <f t="shared" si="10"/>
        <v>598666.66666666663</v>
      </c>
    </row>
    <row r="28" spans="1:22" x14ac:dyDescent="0.25">
      <c r="A28" s="36"/>
      <c r="B28" s="38"/>
      <c r="C28" s="37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</row>
    <row r="29" spans="1:22" x14ac:dyDescent="0.25">
      <c r="A29" s="36"/>
      <c r="B29" s="38" t="s">
        <v>50</v>
      </c>
      <c r="C29" s="37" t="s">
        <v>47</v>
      </c>
      <c r="D29" s="40"/>
      <c r="E29" s="40"/>
      <c r="F29" s="40"/>
      <c r="G29" s="39">
        <f t="shared" ref="G29:U29" si="11">G6-G12-G22</f>
        <v>-134500</v>
      </c>
      <c r="H29" s="39">
        <f t="shared" si="11"/>
        <v>58000</v>
      </c>
      <c r="I29" s="39">
        <f t="shared" si="11"/>
        <v>58000</v>
      </c>
      <c r="J29" s="39">
        <f t="shared" si="11"/>
        <v>58000</v>
      </c>
      <c r="K29" s="39">
        <f t="shared" si="11"/>
        <v>58000</v>
      </c>
      <c r="L29" s="39">
        <f t="shared" si="11"/>
        <v>58000</v>
      </c>
      <c r="M29" s="39">
        <f t="shared" si="11"/>
        <v>58000</v>
      </c>
      <c r="N29" s="39">
        <f t="shared" si="11"/>
        <v>58000</v>
      </c>
      <c r="O29" s="39">
        <f t="shared" si="11"/>
        <v>58000</v>
      </c>
      <c r="P29" s="39">
        <f t="shared" si="11"/>
        <v>58000</v>
      </c>
      <c r="Q29" s="39">
        <f t="shared" si="11"/>
        <v>58000</v>
      </c>
      <c r="R29" s="39">
        <f t="shared" si="11"/>
        <v>58000</v>
      </c>
      <c r="S29" s="39">
        <f t="shared" si="11"/>
        <v>58000</v>
      </c>
      <c r="T29" s="39">
        <f t="shared" si="11"/>
        <v>58000</v>
      </c>
      <c r="U29" s="39">
        <f t="shared" si="11"/>
        <v>58000</v>
      </c>
    </row>
    <row r="30" spans="1:22" x14ac:dyDescent="0.25">
      <c r="A30" s="36"/>
      <c r="B30" s="38" t="s">
        <v>71</v>
      </c>
      <c r="C30" s="37" t="s">
        <v>47</v>
      </c>
      <c r="D30" s="40"/>
      <c r="E30" s="40"/>
      <c r="F30" s="40"/>
      <c r="G30" s="39">
        <f>G29-G26</f>
        <v>-141166.66666666666</v>
      </c>
      <c r="H30" s="39">
        <f>H29-H26</f>
        <v>51333.333333333336</v>
      </c>
      <c r="I30" s="39">
        <f>I29-I26</f>
        <v>51333.333333333336</v>
      </c>
      <c r="J30" s="39">
        <f>J29-J26</f>
        <v>51333.333333333336</v>
      </c>
      <c r="K30" s="39">
        <f>K29-K26</f>
        <v>51333.333333333336</v>
      </c>
      <c r="L30" s="39">
        <f t="shared" ref="L30:U30" si="12">L29-L26</f>
        <v>51333.333333333336</v>
      </c>
      <c r="M30" s="39">
        <f t="shared" si="12"/>
        <v>51333.333333333336</v>
      </c>
      <c r="N30" s="39">
        <f t="shared" si="12"/>
        <v>51333.333333333336</v>
      </c>
      <c r="O30" s="39">
        <f t="shared" si="12"/>
        <v>51333.333333333336</v>
      </c>
      <c r="P30" s="39">
        <f t="shared" si="12"/>
        <v>51333.333333333336</v>
      </c>
      <c r="Q30" s="39">
        <f t="shared" si="12"/>
        <v>51333.333333333336</v>
      </c>
      <c r="R30" s="39">
        <f t="shared" si="12"/>
        <v>51333.333333333336</v>
      </c>
      <c r="S30" s="39">
        <f t="shared" si="12"/>
        <v>51333.333333333336</v>
      </c>
      <c r="T30" s="39">
        <f t="shared" si="12"/>
        <v>51333.333333333336</v>
      </c>
      <c r="U30" s="39">
        <f t="shared" si="12"/>
        <v>51333.333333333336</v>
      </c>
    </row>
    <row r="31" spans="1:22" x14ac:dyDescent="0.25">
      <c r="A31" s="1"/>
      <c r="B31" s="140" t="s">
        <v>52</v>
      </c>
      <c r="C31" s="141"/>
      <c r="D31" s="141"/>
      <c r="E31" s="141"/>
      <c r="F31" s="142"/>
      <c r="G31" s="53">
        <f>IRR(G30:U30)</f>
        <v>0.35865753374655296</v>
      </c>
      <c r="H31" s="54"/>
      <c r="I31" s="54"/>
      <c r="J31" s="54"/>
      <c r="K31" s="54"/>
      <c r="L31" s="54"/>
      <c r="M31" s="54"/>
      <c r="N31" s="54"/>
      <c r="O31" s="54"/>
      <c r="P31" s="54"/>
    </row>
    <row r="32" spans="1:22" x14ac:dyDescent="0.25">
      <c r="A32" s="1"/>
      <c r="B32" s="140" t="s">
        <v>53</v>
      </c>
      <c r="C32" s="141"/>
      <c r="D32" s="141"/>
      <c r="E32" s="141"/>
      <c r="F32" s="142"/>
      <c r="G32" s="55">
        <f>NPV(0.1,G30:U30)</f>
        <v>215445.41465716244</v>
      </c>
      <c r="H32" s="54"/>
      <c r="I32" s="54"/>
      <c r="J32" s="54"/>
      <c r="K32" s="54"/>
      <c r="L32" s="54"/>
      <c r="M32" s="54"/>
      <c r="N32" s="54"/>
      <c r="O32" s="54"/>
      <c r="P32" s="54"/>
    </row>
    <row r="33" spans="1:21" x14ac:dyDescent="0.25">
      <c r="A33" s="1"/>
      <c r="B33" s="148"/>
      <c r="C33" s="148"/>
      <c r="D33" s="148"/>
      <c r="E33" s="148"/>
      <c r="F33" s="148"/>
      <c r="G33" s="56"/>
      <c r="H33" s="57"/>
      <c r="I33" s="57"/>
      <c r="J33" s="57"/>
      <c r="K33" s="57"/>
      <c r="L33" s="57"/>
      <c r="M33" s="57"/>
      <c r="N33" s="57"/>
      <c r="O33" s="57"/>
      <c r="P33" s="57"/>
    </row>
    <row r="34" spans="1:21" x14ac:dyDescent="0.25">
      <c r="A34" s="1"/>
      <c r="B34" s="148"/>
      <c r="C34" s="149"/>
      <c r="D34" s="149"/>
      <c r="E34" s="149"/>
      <c r="F34" s="149"/>
      <c r="G34" s="58"/>
      <c r="H34" s="57"/>
      <c r="I34" s="57"/>
      <c r="J34" s="57"/>
      <c r="K34" s="57"/>
      <c r="L34" s="57"/>
      <c r="M34" s="57"/>
      <c r="N34" s="57"/>
      <c r="O34" s="57"/>
      <c r="P34" s="57"/>
    </row>
    <row r="35" spans="1:21" x14ac:dyDescent="0.25">
      <c r="A35" s="1"/>
      <c r="B35" s="148"/>
      <c r="C35" s="149"/>
      <c r="D35" s="149"/>
      <c r="E35" s="149"/>
      <c r="F35" s="149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</row>
    <row r="36" spans="1:21" x14ac:dyDescent="0.25">
      <c r="A36" s="1"/>
      <c r="B36" s="146"/>
      <c r="C36" s="147"/>
      <c r="D36" s="147"/>
      <c r="E36" s="147"/>
      <c r="F36" s="147"/>
      <c r="G36" s="53"/>
      <c r="H36" s="57"/>
      <c r="I36" s="57"/>
      <c r="J36" s="57"/>
      <c r="K36" s="57"/>
      <c r="L36" s="57"/>
      <c r="M36" s="57"/>
      <c r="N36" s="57"/>
      <c r="O36" s="57"/>
      <c r="P36" s="57"/>
    </row>
    <row r="37" spans="1:21" x14ac:dyDescent="0.25">
      <c r="A37" s="1"/>
      <c r="B37" s="146"/>
      <c r="C37" s="147"/>
      <c r="D37" s="147"/>
      <c r="E37" s="147"/>
      <c r="F37" s="147"/>
      <c r="G37" s="55"/>
      <c r="H37" s="57"/>
      <c r="I37" s="57"/>
      <c r="J37" s="57"/>
      <c r="K37" s="57"/>
      <c r="L37" s="57"/>
      <c r="M37" s="57"/>
      <c r="N37" s="57"/>
      <c r="O37" s="57"/>
      <c r="P37" s="57"/>
    </row>
    <row r="38" spans="1:21" x14ac:dyDescent="0.25">
      <c r="A38" s="1"/>
      <c r="B38" s="50"/>
      <c r="C38" s="51"/>
      <c r="D38" s="51"/>
      <c r="E38" s="51"/>
      <c r="F38" s="52"/>
      <c r="G38" s="55"/>
      <c r="H38" s="54"/>
      <c r="I38" s="54"/>
      <c r="J38" s="54"/>
      <c r="K38" s="54"/>
      <c r="L38" s="54"/>
      <c r="M38" s="54"/>
      <c r="N38" s="54"/>
      <c r="O38" s="54"/>
      <c r="P38" s="54"/>
    </row>
    <row r="39" spans="1:21" x14ac:dyDescent="0.25">
      <c r="A39" s="36"/>
      <c r="B39" s="36"/>
      <c r="C39" s="36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</row>
    <row r="40" spans="1:21" x14ac:dyDescent="0.25">
      <c r="A40" s="36"/>
      <c r="B40" s="143" t="s">
        <v>54</v>
      </c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</row>
    <row r="41" spans="1:21" x14ac:dyDescent="0.25">
      <c r="A41" s="36"/>
      <c r="B41" s="37"/>
      <c r="C41" s="38" t="s">
        <v>19</v>
      </c>
      <c r="D41" s="39" t="s">
        <v>20</v>
      </c>
      <c r="E41" s="39" t="s">
        <v>21</v>
      </c>
      <c r="F41" s="39" t="s">
        <v>22</v>
      </c>
      <c r="G41" s="144" t="s">
        <v>23</v>
      </c>
      <c r="H41" s="145"/>
      <c r="I41" s="145"/>
      <c r="J41" s="145"/>
      <c r="K41" s="145"/>
      <c r="L41" s="145"/>
      <c r="M41" s="145"/>
      <c r="N41" s="145"/>
      <c r="O41" s="145"/>
      <c r="P41" s="145"/>
    </row>
    <row r="42" spans="1:21" x14ac:dyDescent="0.25">
      <c r="A42" s="36"/>
      <c r="B42" s="38" t="s">
        <v>24</v>
      </c>
      <c r="C42" s="37"/>
      <c r="D42" s="40"/>
      <c r="E42" s="40"/>
      <c r="F42" s="40"/>
      <c r="G42" s="40">
        <v>1</v>
      </c>
      <c r="H42" s="40">
        <f t="shared" ref="H42:P42" si="13">G42+1</f>
        <v>2</v>
      </c>
      <c r="I42" s="40">
        <f t="shared" si="13"/>
        <v>3</v>
      </c>
      <c r="J42" s="40">
        <f t="shared" si="13"/>
        <v>4</v>
      </c>
      <c r="K42" s="40">
        <f t="shared" si="13"/>
        <v>5</v>
      </c>
      <c r="L42" s="40">
        <f t="shared" si="13"/>
        <v>6</v>
      </c>
      <c r="M42" s="40">
        <f t="shared" si="13"/>
        <v>7</v>
      </c>
      <c r="N42" s="40">
        <f t="shared" si="13"/>
        <v>8</v>
      </c>
      <c r="O42" s="40">
        <f t="shared" si="13"/>
        <v>9</v>
      </c>
      <c r="P42" s="40">
        <f t="shared" si="13"/>
        <v>10</v>
      </c>
      <c r="Q42">
        <v>11</v>
      </c>
      <c r="R42">
        <v>12</v>
      </c>
      <c r="S42">
        <v>13</v>
      </c>
      <c r="T42">
        <v>14</v>
      </c>
      <c r="U42">
        <v>15</v>
      </c>
    </row>
    <row r="43" spans="1:21" ht="35.25" customHeight="1" x14ac:dyDescent="0.25">
      <c r="A43" s="36"/>
      <c r="B43" s="61" t="s">
        <v>80</v>
      </c>
      <c r="C43" s="37" t="s">
        <v>36</v>
      </c>
      <c r="D43" s="40"/>
      <c r="E43" s="40"/>
      <c r="F43" s="40">
        <f>F4*0.9</f>
        <v>540000</v>
      </c>
      <c r="G43" s="40">
        <f>F43*0.5</f>
        <v>270000</v>
      </c>
      <c r="H43" s="40">
        <f>F43</f>
        <v>540000</v>
      </c>
      <c r="I43" s="40">
        <f>F43</f>
        <v>540000</v>
      </c>
      <c r="J43" s="40">
        <f>F43</f>
        <v>540000</v>
      </c>
      <c r="K43" s="40">
        <f t="shared" ref="K43:U44" si="14">J43</f>
        <v>540000</v>
      </c>
      <c r="L43" s="40">
        <f t="shared" si="14"/>
        <v>540000</v>
      </c>
      <c r="M43" s="40">
        <f t="shared" si="14"/>
        <v>540000</v>
      </c>
      <c r="N43" s="40">
        <f t="shared" si="14"/>
        <v>540000</v>
      </c>
      <c r="O43" s="40">
        <f t="shared" si="14"/>
        <v>540000</v>
      </c>
      <c r="P43" s="40">
        <f t="shared" si="14"/>
        <v>540000</v>
      </c>
      <c r="Q43" s="40">
        <f t="shared" si="14"/>
        <v>540000</v>
      </c>
      <c r="R43" s="40">
        <f t="shared" si="14"/>
        <v>540000</v>
      </c>
      <c r="S43" s="40">
        <f t="shared" si="14"/>
        <v>540000</v>
      </c>
      <c r="T43" s="40">
        <f t="shared" si="14"/>
        <v>540000</v>
      </c>
      <c r="U43" s="40">
        <f t="shared" si="14"/>
        <v>540000</v>
      </c>
    </row>
    <row r="44" spans="1:21" x14ac:dyDescent="0.25">
      <c r="A44" s="36"/>
      <c r="B44" s="62" t="s">
        <v>115</v>
      </c>
      <c r="C44" s="37" t="s">
        <v>36</v>
      </c>
      <c r="D44" s="40"/>
      <c r="E44" s="40"/>
      <c r="F44" s="40">
        <f>F5*0.9</f>
        <v>45000</v>
      </c>
      <c r="G44" s="40"/>
      <c r="H44" s="40">
        <f>F44</f>
        <v>45000</v>
      </c>
      <c r="I44" s="40">
        <f>H44</f>
        <v>45000</v>
      </c>
      <c r="J44" s="40">
        <f>I44</f>
        <v>45000</v>
      </c>
      <c r="K44" s="40">
        <f t="shared" si="14"/>
        <v>45000</v>
      </c>
      <c r="L44" s="40">
        <f t="shared" si="14"/>
        <v>45000</v>
      </c>
      <c r="M44" s="40">
        <f t="shared" si="14"/>
        <v>45000</v>
      </c>
      <c r="N44" s="40">
        <f t="shared" si="14"/>
        <v>45000</v>
      </c>
      <c r="O44" s="40">
        <f t="shared" si="14"/>
        <v>45000</v>
      </c>
      <c r="P44" s="40">
        <f t="shared" si="14"/>
        <v>45000</v>
      </c>
      <c r="Q44" s="40">
        <f t="shared" si="14"/>
        <v>45000</v>
      </c>
      <c r="R44" s="40">
        <f t="shared" si="14"/>
        <v>45000</v>
      </c>
      <c r="S44" s="40">
        <f t="shared" si="14"/>
        <v>45000</v>
      </c>
      <c r="T44" s="40">
        <f t="shared" si="14"/>
        <v>45000</v>
      </c>
      <c r="U44" s="40">
        <f t="shared" si="14"/>
        <v>45000</v>
      </c>
    </row>
    <row r="45" spans="1:21" x14ac:dyDescent="0.25">
      <c r="A45" s="36"/>
      <c r="B45" s="62"/>
      <c r="C45" s="37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</row>
    <row r="46" spans="1:21" x14ac:dyDescent="0.25">
      <c r="A46" s="36"/>
      <c r="B46" s="38" t="s">
        <v>30</v>
      </c>
      <c r="C46" s="37"/>
      <c r="D46" s="40">
        <f t="shared" ref="D46:D54" si="15">D6</f>
        <v>0</v>
      </c>
      <c r="E46" s="40">
        <f t="shared" ref="E46:E54" si="16">E6*0.9</f>
        <v>0</v>
      </c>
      <c r="F46" s="39">
        <f>SUM(F43:F45)</f>
        <v>585000</v>
      </c>
      <c r="G46" s="39">
        <f t="shared" ref="G46:U46" si="17">SUM(G43:G45)</f>
        <v>270000</v>
      </c>
      <c r="H46" s="39">
        <f t="shared" si="17"/>
        <v>585000</v>
      </c>
      <c r="I46" s="39">
        <f t="shared" si="17"/>
        <v>585000</v>
      </c>
      <c r="J46" s="39">
        <f t="shared" si="17"/>
        <v>585000</v>
      </c>
      <c r="K46" s="39">
        <f t="shared" si="17"/>
        <v>585000</v>
      </c>
      <c r="L46" s="39">
        <f t="shared" si="17"/>
        <v>585000</v>
      </c>
      <c r="M46" s="39">
        <f t="shared" si="17"/>
        <v>585000</v>
      </c>
      <c r="N46" s="39">
        <f t="shared" si="17"/>
        <v>585000</v>
      </c>
      <c r="O46" s="39">
        <f t="shared" si="17"/>
        <v>585000</v>
      </c>
      <c r="P46" s="39">
        <f t="shared" si="17"/>
        <v>585000</v>
      </c>
      <c r="Q46" s="39">
        <f t="shared" si="17"/>
        <v>585000</v>
      </c>
      <c r="R46" s="39">
        <f t="shared" si="17"/>
        <v>585000</v>
      </c>
      <c r="S46" s="39">
        <f t="shared" si="17"/>
        <v>585000</v>
      </c>
      <c r="T46" s="39">
        <f t="shared" si="17"/>
        <v>585000</v>
      </c>
      <c r="U46" s="39">
        <f t="shared" si="17"/>
        <v>585000</v>
      </c>
    </row>
    <row r="47" spans="1:21" x14ac:dyDescent="0.25">
      <c r="A47" s="36"/>
      <c r="B47" s="37"/>
      <c r="C47" s="37"/>
      <c r="D47" s="40">
        <f t="shared" si="15"/>
        <v>0</v>
      </c>
      <c r="E47" s="40">
        <f t="shared" si="16"/>
        <v>0</v>
      </c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</row>
    <row r="48" spans="1:21" x14ac:dyDescent="0.25">
      <c r="A48" s="36"/>
      <c r="B48" s="43" t="s">
        <v>31</v>
      </c>
      <c r="C48" s="37"/>
      <c r="D48" s="40">
        <f t="shared" si="15"/>
        <v>0</v>
      </c>
      <c r="E48" s="40">
        <f t="shared" si="16"/>
        <v>0</v>
      </c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</row>
    <row r="49" spans="1:22" x14ac:dyDescent="0.25">
      <c r="A49" s="36"/>
      <c r="B49" s="38" t="s">
        <v>32</v>
      </c>
      <c r="C49" s="37"/>
      <c r="D49" s="40">
        <f t="shared" si="15"/>
        <v>0</v>
      </c>
      <c r="E49" s="40">
        <f t="shared" si="16"/>
        <v>0</v>
      </c>
      <c r="F49" s="44"/>
      <c r="G49" s="40"/>
      <c r="H49" s="40"/>
      <c r="I49" s="40"/>
      <c r="J49" s="40"/>
      <c r="K49" s="40"/>
      <c r="L49" s="40"/>
      <c r="M49" s="40"/>
      <c r="N49" s="40"/>
      <c r="O49" s="40"/>
      <c r="P49" s="40"/>
    </row>
    <row r="50" spans="1:22" x14ac:dyDescent="0.25">
      <c r="A50" s="36"/>
      <c r="B50" s="63" t="s">
        <v>81</v>
      </c>
      <c r="C50" s="37" t="s">
        <v>34</v>
      </c>
      <c r="D50" s="40">
        <f t="shared" si="15"/>
        <v>1</v>
      </c>
      <c r="E50" s="40">
        <f t="shared" si="16"/>
        <v>90000</v>
      </c>
      <c r="F50" s="40">
        <f>D50*E50</f>
        <v>90000</v>
      </c>
      <c r="G50" s="40">
        <f>D50*E50</f>
        <v>90000</v>
      </c>
      <c r="H50" s="40">
        <v>0</v>
      </c>
      <c r="I50" s="40">
        <v>0</v>
      </c>
      <c r="J50" s="40">
        <v>0</v>
      </c>
      <c r="K50" s="40"/>
      <c r="L50" s="40"/>
      <c r="M50" s="40"/>
      <c r="N50" s="40"/>
      <c r="O50" s="40"/>
      <c r="P50" s="40">
        <f>K50</f>
        <v>0</v>
      </c>
    </row>
    <row r="51" spans="1:22" x14ac:dyDescent="0.25">
      <c r="A51" s="36"/>
      <c r="B51" s="63" t="s">
        <v>89</v>
      </c>
      <c r="C51" s="37" t="s">
        <v>36</v>
      </c>
      <c r="D51" s="40">
        <f t="shared" si="15"/>
        <v>1</v>
      </c>
      <c r="E51" s="40">
        <f t="shared" si="16"/>
        <v>18000</v>
      </c>
      <c r="F51" s="40">
        <f t="shared" ref="F51" si="18">D51*E51</f>
        <v>18000</v>
      </c>
      <c r="G51" s="40">
        <f>D51*E51</f>
        <v>18000</v>
      </c>
      <c r="H51" s="40">
        <v>0</v>
      </c>
      <c r="I51" s="40">
        <v>0</v>
      </c>
      <c r="J51" s="40">
        <v>0</v>
      </c>
      <c r="K51" s="40">
        <v>0</v>
      </c>
      <c r="L51" s="40"/>
      <c r="M51" s="40"/>
      <c r="N51" s="40"/>
      <c r="O51" s="40"/>
      <c r="P51" s="40"/>
    </row>
    <row r="52" spans="1:22" x14ac:dyDescent="0.25">
      <c r="A52" s="36"/>
      <c r="B52" s="38" t="s">
        <v>37</v>
      </c>
      <c r="C52" s="37"/>
      <c r="D52" s="40">
        <f t="shared" si="15"/>
        <v>0</v>
      </c>
      <c r="E52" s="40">
        <f t="shared" si="16"/>
        <v>0</v>
      </c>
      <c r="F52" s="39">
        <f t="shared" ref="F52:U52" si="19">SUM(F50:F51)</f>
        <v>108000</v>
      </c>
      <c r="G52" s="39">
        <f t="shared" si="19"/>
        <v>108000</v>
      </c>
      <c r="H52" s="39">
        <f t="shared" si="19"/>
        <v>0</v>
      </c>
      <c r="I52" s="39">
        <f t="shared" si="19"/>
        <v>0</v>
      </c>
      <c r="J52" s="39">
        <f t="shared" si="19"/>
        <v>0</v>
      </c>
      <c r="K52" s="39">
        <f t="shared" si="19"/>
        <v>0</v>
      </c>
      <c r="L52" s="39">
        <f t="shared" si="19"/>
        <v>0</v>
      </c>
      <c r="M52" s="39">
        <f t="shared" si="19"/>
        <v>0</v>
      </c>
      <c r="N52" s="39">
        <f t="shared" si="19"/>
        <v>0</v>
      </c>
      <c r="O52" s="39">
        <f t="shared" si="19"/>
        <v>0</v>
      </c>
      <c r="P52" s="39">
        <f t="shared" si="19"/>
        <v>0</v>
      </c>
      <c r="Q52" s="39">
        <f t="shared" si="19"/>
        <v>0</v>
      </c>
      <c r="R52" s="39">
        <f t="shared" si="19"/>
        <v>0</v>
      </c>
      <c r="S52" s="39">
        <f t="shared" si="19"/>
        <v>0</v>
      </c>
      <c r="T52" s="39">
        <f t="shared" si="19"/>
        <v>0</v>
      </c>
      <c r="U52" s="39">
        <f t="shared" si="19"/>
        <v>0</v>
      </c>
    </row>
    <row r="53" spans="1:22" x14ac:dyDescent="0.25">
      <c r="A53" s="36"/>
      <c r="B53" s="37"/>
      <c r="C53" s="37"/>
      <c r="D53" s="40">
        <f t="shared" si="15"/>
        <v>0</v>
      </c>
      <c r="E53" s="40">
        <f t="shared" si="16"/>
        <v>0</v>
      </c>
      <c r="F53" s="40">
        <f t="shared" ref="F53:F54" si="20">D53*E53</f>
        <v>0</v>
      </c>
      <c r="G53" s="40"/>
      <c r="H53" s="40"/>
      <c r="I53" s="40"/>
      <c r="J53" s="40"/>
      <c r="K53" s="40"/>
      <c r="L53" s="40"/>
      <c r="M53" s="40"/>
      <c r="N53" s="40"/>
      <c r="O53" s="40"/>
      <c r="P53" s="40"/>
    </row>
    <row r="54" spans="1:22" x14ac:dyDescent="0.25">
      <c r="A54" s="36"/>
      <c r="B54" s="38" t="s">
        <v>38</v>
      </c>
      <c r="C54" s="37"/>
      <c r="D54" s="40">
        <f t="shared" si="15"/>
        <v>0</v>
      </c>
      <c r="E54" s="40">
        <f t="shared" si="16"/>
        <v>0</v>
      </c>
      <c r="F54" s="40">
        <f t="shared" si="20"/>
        <v>0</v>
      </c>
      <c r="G54" s="40"/>
      <c r="H54" s="40"/>
      <c r="I54" s="40"/>
      <c r="J54" s="40"/>
      <c r="K54" s="40"/>
      <c r="L54" s="40"/>
      <c r="M54" s="40"/>
      <c r="N54" s="40"/>
      <c r="O54" s="40"/>
      <c r="P54" s="40"/>
    </row>
    <row r="55" spans="1:22" x14ac:dyDescent="0.25">
      <c r="A55" s="36"/>
      <c r="B55" s="64" t="s">
        <v>90</v>
      </c>
      <c r="C55" s="37" t="s">
        <v>40</v>
      </c>
      <c r="D55" s="40"/>
      <c r="E55" s="40"/>
      <c r="F55" s="40">
        <f>F15*0.9</f>
        <v>405000</v>
      </c>
      <c r="G55" s="40">
        <f>F55*0.5</f>
        <v>202500</v>
      </c>
      <c r="H55" s="40">
        <f>F55</f>
        <v>405000</v>
      </c>
      <c r="I55" s="40">
        <f t="shared" ref="I55:U60" si="21">H55</f>
        <v>405000</v>
      </c>
      <c r="J55" s="40">
        <f t="shared" si="21"/>
        <v>405000</v>
      </c>
      <c r="K55" s="40">
        <f t="shared" si="21"/>
        <v>405000</v>
      </c>
      <c r="L55" s="40">
        <f t="shared" si="21"/>
        <v>405000</v>
      </c>
      <c r="M55" s="40">
        <f t="shared" si="21"/>
        <v>405000</v>
      </c>
      <c r="N55" s="40">
        <f t="shared" si="21"/>
        <v>405000</v>
      </c>
      <c r="O55" s="40">
        <f t="shared" si="21"/>
        <v>405000</v>
      </c>
      <c r="P55" s="40">
        <f t="shared" si="21"/>
        <v>405000</v>
      </c>
      <c r="Q55" s="40">
        <f t="shared" si="21"/>
        <v>405000</v>
      </c>
      <c r="R55" s="40">
        <f t="shared" si="21"/>
        <v>405000</v>
      </c>
      <c r="S55" s="40">
        <f t="shared" si="21"/>
        <v>405000</v>
      </c>
      <c r="T55" s="40">
        <f t="shared" si="21"/>
        <v>405000</v>
      </c>
      <c r="U55" s="40">
        <f t="shared" si="21"/>
        <v>405000</v>
      </c>
    </row>
    <row r="56" spans="1:22" x14ac:dyDescent="0.25">
      <c r="A56" s="36"/>
      <c r="B56" s="65" t="s">
        <v>91</v>
      </c>
      <c r="C56" s="37" t="s">
        <v>40</v>
      </c>
      <c r="D56" s="40"/>
      <c r="E56" s="40"/>
      <c r="F56" s="40">
        <f>F16*0.8</f>
        <v>24000</v>
      </c>
      <c r="G56" s="40"/>
      <c r="H56" s="40">
        <f>F56</f>
        <v>24000</v>
      </c>
      <c r="I56" s="40">
        <f t="shared" si="21"/>
        <v>24000</v>
      </c>
      <c r="J56" s="40">
        <f t="shared" si="21"/>
        <v>24000</v>
      </c>
      <c r="K56" s="40">
        <f t="shared" si="21"/>
        <v>24000</v>
      </c>
      <c r="L56" s="40">
        <f t="shared" si="21"/>
        <v>24000</v>
      </c>
      <c r="M56" s="40">
        <f t="shared" si="21"/>
        <v>24000</v>
      </c>
      <c r="N56" s="40">
        <f t="shared" si="21"/>
        <v>24000</v>
      </c>
      <c r="O56" s="40">
        <f t="shared" si="21"/>
        <v>24000</v>
      </c>
      <c r="P56" s="40">
        <f t="shared" si="21"/>
        <v>24000</v>
      </c>
      <c r="Q56" s="40">
        <f t="shared" si="21"/>
        <v>24000</v>
      </c>
      <c r="R56" s="40">
        <f t="shared" si="21"/>
        <v>24000</v>
      </c>
      <c r="S56" s="40">
        <f t="shared" si="21"/>
        <v>24000</v>
      </c>
      <c r="T56" s="40">
        <f t="shared" si="21"/>
        <v>24000</v>
      </c>
      <c r="U56" s="40">
        <f t="shared" si="21"/>
        <v>24000</v>
      </c>
      <c r="V56" s="46"/>
    </row>
    <row r="57" spans="1:22" x14ac:dyDescent="0.25">
      <c r="A57" s="36"/>
      <c r="B57" s="45" t="s">
        <v>41</v>
      </c>
      <c r="C57" s="37" t="s">
        <v>40</v>
      </c>
      <c r="D57" s="40"/>
      <c r="E57" s="40"/>
      <c r="F57" s="40">
        <f>F17</f>
        <v>90000</v>
      </c>
      <c r="G57" s="40">
        <f>F57*0.75</f>
        <v>67500</v>
      </c>
      <c r="H57" s="40">
        <f>F57</f>
        <v>90000</v>
      </c>
      <c r="I57" s="40">
        <f t="shared" si="21"/>
        <v>90000</v>
      </c>
      <c r="J57" s="40">
        <f t="shared" si="21"/>
        <v>90000</v>
      </c>
      <c r="K57" s="40">
        <f t="shared" si="21"/>
        <v>90000</v>
      </c>
      <c r="L57" s="40">
        <f t="shared" si="21"/>
        <v>90000</v>
      </c>
      <c r="M57" s="40">
        <f t="shared" si="21"/>
        <v>90000</v>
      </c>
      <c r="N57" s="40">
        <f t="shared" si="21"/>
        <v>90000</v>
      </c>
      <c r="O57" s="40">
        <f t="shared" si="21"/>
        <v>90000</v>
      </c>
      <c r="P57" s="40">
        <f t="shared" si="21"/>
        <v>90000</v>
      </c>
      <c r="Q57" s="40">
        <f t="shared" si="21"/>
        <v>90000</v>
      </c>
      <c r="R57" s="40">
        <f t="shared" si="21"/>
        <v>90000</v>
      </c>
      <c r="S57" s="40">
        <f t="shared" si="21"/>
        <v>90000</v>
      </c>
      <c r="T57" s="40">
        <f t="shared" si="21"/>
        <v>90000</v>
      </c>
      <c r="U57" s="40">
        <f t="shared" si="21"/>
        <v>90000</v>
      </c>
      <c r="V57" s="46"/>
    </row>
    <row r="58" spans="1:22" x14ac:dyDescent="0.25">
      <c r="A58" s="36"/>
      <c r="B58" s="45" t="s">
        <v>92</v>
      </c>
      <c r="C58" s="37" t="s">
        <v>40</v>
      </c>
      <c r="D58" s="40"/>
      <c r="E58" s="40"/>
      <c r="F58" s="40">
        <f>F18*0.9</f>
        <v>9000</v>
      </c>
      <c r="G58" s="40">
        <f>F58</f>
        <v>9000</v>
      </c>
      <c r="H58" s="40">
        <f>F58</f>
        <v>9000</v>
      </c>
      <c r="I58" s="40">
        <f>F58</f>
        <v>9000</v>
      </c>
      <c r="J58" s="40">
        <f>F58</f>
        <v>9000</v>
      </c>
      <c r="K58" s="40">
        <f>J58</f>
        <v>9000</v>
      </c>
      <c r="L58" s="40">
        <f t="shared" si="21"/>
        <v>9000</v>
      </c>
      <c r="M58" s="40">
        <f t="shared" si="21"/>
        <v>9000</v>
      </c>
      <c r="N58" s="40">
        <f t="shared" si="21"/>
        <v>9000</v>
      </c>
      <c r="O58" s="40">
        <f t="shared" si="21"/>
        <v>9000</v>
      </c>
      <c r="P58" s="40">
        <f t="shared" si="21"/>
        <v>9000</v>
      </c>
      <c r="Q58" s="40">
        <f t="shared" si="21"/>
        <v>9000</v>
      </c>
      <c r="R58" s="40">
        <f t="shared" si="21"/>
        <v>9000</v>
      </c>
      <c r="S58" s="40">
        <f t="shared" si="21"/>
        <v>9000</v>
      </c>
      <c r="T58" s="40">
        <f t="shared" si="21"/>
        <v>9000</v>
      </c>
      <c r="U58" s="40">
        <f t="shared" si="21"/>
        <v>9000</v>
      </c>
    </row>
    <row r="59" spans="1:22" x14ac:dyDescent="0.25">
      <c r="A59" s="36"/>
      <c r="B59" s="45" t="s">
        <v>236</v>
      </c>
      <c r="C59" s="37" t="s">
        <v>40</v>
      </c>
      <c r="D59" s="40"/>
      <c r="E59" s="40"/>
      <c r="F59" s="40">
        <f t="shared" ref="F59" si="22">F19*0.9</f>
        <v>5400</v>
      </c>
      <c r="G59" s="40">
        <f>F59</f>
        <v>5400</v>
      </c>
      <c r="H59" s="40">
        <f t="shared" ref="H59:H60" si="23">F59</f>
        <v>5400</v>
      </c>
      <c r="I59" s="40">
        <f t="shared" ref="I59:I60" si="24">F59</f>
        <v>5400</v>
      </c>
      <c r="J59" s="40">
        <f t="shared" ref="J59:J60" si="25">F59</f>
        <v>5400</v>
      </c>
      <c r="K59" s="40">
        <f>J59</f>
        <v>5400</v>
      </c>
      <c r="L59" s="40">
        <f t="shared" si="21"/>
        <v>5400</v>
      </c>
      <c r="M59" s="40">
        <f t="shared" si="21"/>
        <v>5400</v>
      </c>
      <c r="N59" s="40">
        <f t="shared" si="21"/>
        <v>5400</v>
      </c>
      <c r="O59" s="40">
        <f t="shared" si="21"/>
        <v>5400</v>
      </c>
      <c r="P59" s="40">
        <f t="shared" si="21"/>
        <v>5400</v>
      </c>
      <c r="Q59" s="40">
        <f t="shared" si="21"/>
        <v>5400</v>
      </c>
      <c r="R59" s="40">
        <f t="shared" si="21"/>
        <v>5400</v>
      </c>
      <c r="S59" s="40">
        <f t="shared" si="21"/>
        <v>5400</v>
      </c>
      <c r="T59" s="40">
        <f t="shared" si="21"/>
        <v>5400</v>
      </c>
      <c r="U59" s="40">
        <f t="shared" si="21"/>
        <v>5400</v>
      </c>
    </row>
    <row r="60" spans="1:22" x14ac:dyDescent="0.25">
      <c r="A60" s="36"/>
      <c r="B60" s="45" t="s">
        <v>84</v>
      </c>
      <c r="C60" s="37" t="s">
        <v>40</v>
      </c>
      <c r="D60" s="40"/>
      <c r="E60" s="40"/>
      <c r="F60" s="40">
        <f>F20*0.8</f>
        <v>4800</v>
      </c>
      <c r="G60" s="40">
        <f>F60</f>
        <v>4800</v>
      </c>
      <c r="H60" s="40">
        <f t="shared" si="23"/>
        <v>4800</v>
      </c>
      <c r="I60" s="40">
        <f t="shared" si="24"/>
        <v>4800</v>
      </c>
      <c r="J60" s="40">
        <f t="shared" si="25"/>
        <v>4800</v>
      </c>
      <c r="K60" s="40">
        <f>J60</f>
        <v>4800</v>
      </c>
      <c r="L60" s="40">
        <f t="shared" si="21"/>
        <v>4800</v>
      </c>
      <c r="M60" s="40">
        <f t="shared" si="21"/>
        <v>4800</v>
      </c>
      <c r="N60" s="40">
        <f t="shared" si="21"/>
        <v>4800</v>
      </c>
      <c r="O60" s="40">
        <f t="shared" si="21"/>
        <v>4800</v>
      </c>
      <c r="P60" s="40">
        <f t="shared" si="21"/>
        <v>4800</v>
      </c>
      <c r="Q60" s="40">
        <f t="shared" si="21"/>
        <v>4800</v>
      </c>
      <c r="R60" s="40">
        <f t="shared" si="21"/>
        <v>4800</v>
      </c>
      <c r="S60" s="40">
        <f t="shared" si="21"/>
        <v>4800</v>
      </c>
      <c r="T60" s="40">
        <f t="shared" si="21"/>
        <v>4800</v>
      </c>
      <c r="U60" s="40">
        <f t="shared" si="21"/>
        <v>4800</v>
      </c>
    </row>
    <row r="61" spans="1:22" x14ac:dyDescent="0.25">
      <c r="A61" s="36"/>
      <c r="B61" s="38" t="s">
        <v>44</v>
      </c>
      <c r="C61" s="37"/>
      <c r="D61" s="40">
        <f>D22</f>
        <v>0</v>
      </c>
      <c r="E61" s="40"/>
      <c r="F61" s="39">
        <f>SUM(F55:F60)</f>
        <v>538200</v>
      </c>
      <c r="G61" s="39">
        <f t="shared" ref="G61:U61" si="26">SUM(G55:G60)</f>
        <v>289200</v>
      </c>
      <c r="H61" s="39">
        <f t="shared" si="26"/>
        <v>538200</v>
      </c>
      <c r="I61" s="39">
        <f t="shared" si="26"/>
        <v>538200</v>
      </c>
      <c r="J61" s="39">
        <f t="shared" si="26"/>
        <v>538200</v>
      </c>
      <c r="K61" s="39">
        <f t="shared" si="26"/>
        <v>538200</v>
      </c>
      <c r="L61" s="39">
        <f t="shared" si="26"/>
        <v>538200</v>
      </c>
      <c r="M61" s="39">
        <f t="shared" si="26"/>
        <v>538200</v>
      </c>
      <c r="N61" s="39">
        <f t="shared" si="26"/>
        <v>538200</v>
      </c>
      <c r="O61" s="39">
        <f t="shared" si="26"/>
        <v>538200</v>
      </c>
      <c r="P61" s="39">
        <f t="shared" si="26"/>
        <v>538200</v>
      </c>
      <c r="Q61" s="39">
        <f t="shared" si="26"/>
        <v>538200</v>
      </c>
      <c r="R61" s="39">
        <f t="shared" si="26"/>
        <v>538200</v>
      </c>
      <c r="S61" s="39">
        <f t="shared" si="26"/>
        <v>538200</v>
      </c>
      <c r="T61" s="39">
        <f t="shared" si="26"/>
        <v>538200</v>
      </c>
      <c r="U61" s="39">
        <f t="shared" si="26"/>
        <v>538200</v>
      </c>
    </row>
    <row r="62" spans="1:22" x14ac:dyDescent="0.25">
      <c r="A62" s="36"/>
      <c r="B62" s="47"/>
      <c r="C62" s="37"/>
      <c r="D62" s="40">
        <f>D23</f>
        <v>0</v>
      </c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</row>
    <row r="63" spans="1:22" x14ac:dyDescent="0.25">
      <c r="A63" s="36"/>
      <c r="B63" s="38" t="s">
        <v>45</v>
      </c>
      <c r="C63" s="37"/>
      <c r="D63" s="40">
        <f>D24</f>
        <v>0</v>
      </c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</row>
    <row r="64" spans="1:22" x14ac:dyDescent="0.25">
      <c r="A64" s="36"/>
      <c r="B64" s="37" t="s">
        <v>46</v>
      </c>
      <c r="C64" s="37" t="s">
        <v>47</v>
      </c>
      <c r="D64" s="40">
        <f>D25</f>
        <v>1</v>
      </c>
      <c r="E64" s="40"/>
      <c r="F64" s="40">
        <f>D64*E64</f>
        <v>0</v>
      </c>
      <c r="G64" s="40">
        <v>0</v>
      </c>
      <c r="H64" s="40">
        <f>D64*E64</f>
        <v>0</v>
      </c>
      <c r="I64" s="40">
        <f t="shared" ref="I64:U64" si="27">H64</f>
        <v>0</v>
      </c>
      <c r="J64" s="40">
        <f t="shared" si="27"/>
        <v>0</v>
      </c>
      <c r="K64" s="40">
        <f t="shared" si="27"/>
        <v>0</v>
      </c>
      <c r="L64" s="40">
        <f t="shared" si="27"/>
        <v>0</v>
      </c>
      <c r="M64" s="40">
        <f t="shared" si="27"/>
        <v>0</v>
      </c>
      <c r="N64" s="40">
        <f t="shared" si="27"/>
        <v>0</v>
      </c>
      <c r="O64" s="40">
        <f t="shared" si="27"/>
        <v>0</v>
      </c>
      <c r="P64" s="40">
        <f t="shared" si="27"/>
        <v>0</v>
      </c>
      <c r="Q64" s="40">
        <f t="shared" si="27"/>
        <v>0</v>
      </c>
      <c r="R64" s="40">
        <f t="shared" si="27"/>
        <v>0</v>
      </c>
      <c r="S64" s="40">
        <f t="shared" si="27"/>
        <v>0</v>
      </c>
      <c r="T64" s="40">
        <f t="shared" si="27"/>
        <v>0</v>
      </c>
      <c r="U64" s="40">
        <f t="shared" si="27"/>
        <v>0</v>
      </c>
      <c r="V64" s="48">
        <f>SUM(H64:U64)</f>
        <v>0</v>
      </c>
    </row>
    <row r="65" spans="1:21" x14ac:dyDescent="0.25">
      <c r="A65" s="36"/>
      <c r="B65" s="38" t="s">
        <v>48</v>
      </c>
      <c r="C65" s="37"/>
      <c r="D65" s="40"/>
      <c r="E65" s="40"/>
      <c r="F65" s="39">
        <f t="shared" ref="F65:U65" si="28">SUM(F64:F64)</f>
        <v>0</v>
      </c>
      <c r="G65" s="39">
        <f t="shared" si="28"/>
        <v>0</v>
      </c>
      <c r="H65" s="39">
        <f t="shared" si="28"/>
        <v>0</v>
      </c>
      <c r="I65" s="39">
        <f t="shared" si="28"/>
        <v>0</v>
      </c>
      <c r="J65" s="39">
        <f t="shared" si="28"/>
        <v>0</v>
      </c>
      <c r="K65" s="39">
        <f t="shared" si="28"/>
        <v>0</v>
      </c>
      <c r="L65" s="39">
        <f t="shared" si="28"/>
        <v>0</v>
      </c>
      <c r="M65" s="39">
        <f t="shared" si="28"/>
        <v>0</v>
      </c>
      <c r="N65" s="39">
        <f t="shared" si="28"/>
        <v>0</v>
      </c>
      <c r="O65" s="39">
        <f t="shared" si="28"/>
        <v>0</v>
      </c>
      <c r="P65" s="39">
        <f t="shared" si="28"/>
        <v>0</v>
      </c>
      <c r="Q65" s="39">
        <f t="shared" si="28"/>
        <v>0</v>
      </c>
      <c r="R65" s="39">
        <f t="shared" si="28"/>
        <v>0</v>
      </c>
      <c r="S65" s="39">
        <f t="shared" si="28"/>
        <v>0</v>
      </c>
      <c r="T65" s="39">
        <f t="shared" si="28"/>
        <v>0</v>
      </c>
      <c r="U65" s="39">
        <f t="shared" si="28"/>
        <v>0</v>
      </c>
    </row>
    <row r="66" spans="1:21" x14ac:dyDescent="0.25">
      <c r="A66" s="36"/>
      <c r="B66" s="38" t="s">
        <v>49</v>
      </c>
      <c r="C66" s="37"/>
      <c r="D66" s="40"/>
      <c r="E66" s="40"/>
      <c r="F66" s="39">
        <f t="shared" ref="F66:U66" si="29">F52+F61+F65</f>
        <v>646200</v>
      </c>
      <c r="G66" s="39">
        <f t="shared" si="29"/>
        <v>397200</v>
      </c>
      <c r="H66" s="39">
        <f t="shared" si="29"/>
        <v>538200</v>
      </c>
      <c r="I66" s="39">
        <f t="shared" si="29"/>
        <v>538200</v>
      </c>
      <c r="J66" s="39">
        <f t="shared" si="29"/>
        <v>538200</v>
      </c>
      <c r="K66" s="39">
        <f t="shared" si="29"/>
        <v>538200</v>
      </c>
      <c r="L66" s="39">
        <f t="shared" si="29"/>
        <v>538200</v>
      </c>
      <c r="M66" s="39">
        <f t="shared" si="29"/>
        <v>538200</v>
      </c>
      <c r="N66" s="39">
        <f t="shared" si="29"/>
        <v>538200</v>
      </c>
      <c r="O66" s="39">
        <f t="shared" si="29"/>
        <v>538200</v>
      </c>
      <c r="P66" s="39">
        <f t="shared" si="29"/>
        <v>538200</v>
      </c>
      <c r="Q66" s="39">
        <f t="shared" si="29"/>
        <v>538200</v>
      </c>
      <c r="R66" s="39">
        <f t="shared" si="29"/>
        <v>538200</v>
      </c>
      <c r="S66" s="39">
        <f t="shared" si="29"/>
        <v>538200</v>
      </c>
      <c r="T66" s="39">
        <f t="shared" si="29"/>
        <v>538200</v>
      </c>
      <c r="U66" s="39">
        <f t="shared" si="29"/>
        <v>538200</v>
      </c>
    </row>
    <row r="67" spans="1:21" x14ac:dyDescent="0.25">
      <c r="A67" s="36"/>
      <c r="B67" s="38"/>
      <c r="C67" s="37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</row>
    <row r="68" spans="1:21" x14ac:dyDescent="0.25">
      <c r="A68" s="36"/>
      <c r="B68" s="38" t="s">
        <v>50</v>
      </c>
      <c r="C68" s="37" t="s">
        <v>47</v>
      </c>
      <c r="D68" s="40"/>
      <c r="E68" s="40"/>
      <c r="F68" s="40"/>
      <c r="G68" s="39">
        <f t="shared" ref="G68:U68" si="30">G46-G52-G61</f>
        <v>-127200</v>
      </c>
      <c r="H68" s="39">
        <f t="shared" si="30"/>
        <v>46800</v>
      </c>
      <c r="I68" s="39">
        <f t="shared" si="30"/>
        <v>46800</v>
      </c>
      <c r="J68" s="39">
        <f t="shared" si="30"/>
        <v>46800</v>
      </c>
      <c r="K68" s="39">
        <f t="shared" si="30"/>
        <v>46800</v>
      </c>
      <c r="L68" s="39">
        <f t="shared" si="30"/>
        <v>46800</v>
      </c>
      <c r="M68" s="39">
        <f t="shared" si="30"/>
        <v>46800</v>
      </c>
      <c r="N68" s="39">
        <f t="shared" si="30"/>
        <v>46800</v>
      </c>
      <c r="O68" s="39">
        <f t="shared" si="30"/>
        <v>46800</v>
      </c>
      <c r="P68" s="39">
        <f t="shared" si="30"/>
        <v>46800</v>
      </c>
      <c r="Q68" s="39">
        <f t="shared" si="30"/>
        <v>46800</v>
      </c>
      <c r="R68" s="39">
        <f t="shared" si="30"/>
        <v>46800</v>
      </c>
      <c r="S68" s="39">
        <f t="shared" si="30"/>
        <v>46800</v>
      </c>
      <c r="T68" s="39">
        <f t="shared" si="30"/>
        <v>46800</v>
      </c>
      <c r="U68" s="39">
        <f t="shared" si="30"/>
        <v>46800</v>
      </c>
    </row>
    <row r="69" spans="1:21" x14ac:dyDescent="0.25">
      <c r="A69" s="36"/>
      <c r="B69" s="38" t="s">
        <v>51</v>
      </c>
      <c r="C69" s="37" t="s">
        <v>47</v>
      </c>
      <c r="D69" s="40"/>
      <c r="E69" s="40"/>
      <c r="F69" s="40"/>
      <c r="G69" s="39">
        <f>G68-G65</f>
        <v>-127200</v>
      </c>
      <c r="H69" s="39">
        <f>H68-H65</f>
        <v>46800</v>
      </c>
      <c r="I69" s="39">
        <f>I68-I65</f>
        <v>46800</v>
      </c>
      <c r="J69" s="39">
        <f>J68-J65</f>
        <v>46800</v>
      </c>
      <c r="K69" s="39">
        <f>K68-K65</f>
        <v>46800</v>
      </c>
      <c r="L69" s="39">
        <f t="shared" ref="L69:U69" si="31">L68-L65</f>
        <v>46800</v>
      </c>
      <c r="M69" s="39">
        <f t="shared" si="31"/>
        <v>46800</v>
      </c>
      <c r="N69" s="39">
        <f t="shared" si="31"/>
        <v>46800</v>
      </c>
      <c r="O69" s="39">
        <f t="shared" si="31"/>
        <v>46800</v>
      </c>
      <c r="P69" s="39">
        <f t="shared" si="31"/>
        <v>46800</v>
      </c>
      <c r="Q69" s="39">
        <f t="shared" si="31"/>
        <v>46800</v>
      </c>
      <c r="R69" s="39">
        <f t="shared" si="31"/>
        <v>46800</v>
      </c>
      <c r="S69" s="39">
        <f t="shared" si="31"/>
        <v>46800</v>
      </c>
      <c r="T69" s="39">
        <f t="shared" si="31"/>
        <v>46800</v>
      </c>
      <c r="U69" s="39">
        <f t="shared" si="31"/>
        <v>46800</v>
      </c>
    </row>
    <row r="70" spans="1:21" x14ac:dyDescent="0.25">
      <c r="A70" s="1"/>
      <c r="B70" s="140" t="s">
        <v>58</v>
      </c>
      <c r="C70" s="141"/>
      <c r="D70" s="141"/>
      <c r="E70" s="141"/>
      <c r="F70" s="142"/>
      <c r="G70" s="53">
        <f>IRR(G69:U69)</f>
        <v>0.36311265428454198</v>
      </c>
      <c r="H70" s="54"/>
      <c r="I70" s="54"/>
      <c r="J70" s="54"/>
      <c r="K70" s="54"/>
      <c r="L70" s="54"/>
      <c r="M70" s="54"/>
      <c r="N70" s="54"/>
      <c r="O70" s="54"/>
      <c r="P70" s="54"/>
    </row>
    <row r="71" spans="1:21" x14ac:dyDescent="0.25">
      <c r="A71" s="1"/>
      <c r="B71" s="140" t="s">
        <v>59</v>
      </c>
      <c r="C71" s="141"/>
      <c r="D71" s="141"/>
      <c r="E71" s="141"/>
      <c r="F71" s="142"/>
      <c r="G71" s="55">
        <f>NPV(0.1,G69:U69)</f>
        <v>197782.70271341302</v>
      </c>
      <c r="H71" s="54"/>
      <c r="I71" s="54"/>
      <c r="J71" s="54"/>
      <c r="K71" s="54"/>
      <c r="L71" s="54"/>
      <c r="M71" s="54"/>
      <c r="N71" s="54"/>
      <c r="O71" s="54"/>
      <c r="P71" s="54"/>
    </row>
    <row r="72" spans="1:21" x14ac:dyDescent="0.25">
      <c r="A72" s="1"/>
      <c r="B72" s="148"/>
      <c r="C72" s="148"/>
      <c r="D72" s="148"/>
      <c r="E72" s="148"/>
      <c r="F72" s="148"/>
      <c r="G72" s="56"/>
      <c r="H72" s="57"/>
      <c r="I72" s="57"/>
      <c r="J72" s="57"/>
      <c r="K72" s="57"/>
      <c r="L72" s="57"/>
      <c r="M72" s="57"/>
      <c r="N72" s="57"/>
      <c r="O72" s="57"/>
      <c r="P72" s="57"/>
    </row>
    <row r="73" spans="1:21" x14ac:dyDescent="0.25">
      <c r="A73" s="1"/>
      <c r="B73" s="148"/>
      <c r="C73" s="149"/>
      <c r="D73" s="149"/>
      <c r="E73" s="149"/>
      <c r="F73" s="149"/>
      <c r="G73" s="58"/>
      <c r="H73" s="57"/>
      <c r="I73" s="57"/>
      <c r="J73" s="57"/>
      <c r="K73" s="57"/>
      <c r="L73" s="57"/>
      <c r="M73" s="57"/>
      <c r="N73" s="57"/>
      <c r="O73" s="57"/>
      <c r="P73" s="57"/>
    </row>
    <row r="74" spans="1:21" x14ac:dyDescent="0.25">
      <c r="A74" s="1"/>
      <c r="B74" s="148"/>
      <c r="C74" s="149"/>
      <c r="D74" s="149"/>
      <c r="E74" s="149"/>
      <c r="F74" s="149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</row>
    <row r="75" spans="1:21" x14ac:dyDescent="0.25">
      <c r="A75" s="1"/>
      <c r="B75" s="146"/>
      <c r="C75" s="147"/>
      <c r="D75" s="147"/>
      <c r="E75" s="147"/>
      <c r="F75" s="147"/>
      <c r="G75" s="53"/>
      <c r="H75" s="57"/>
      <c r="I75" s="57"/>
      <c r="J75" s="57"/>
      <c r="K75" s="57"/>
      <c r="L75" s="57"/>
      <c r="M75" s="57"/>
      <c r="N75" s="57"/>
      <c r="O75" s="57"/>
      <c r="P75" s="57"/>
    </row>
    <row r="76" spans="1:21" x14ac:dyDescent="0.25">
      <c r="A76" s="1"/>
      <c r="B76" s="146"/>
      <c r="C76" s="147"/>
      <c r="D76" s="147"/>
      <c r="E76" s="147"/>
      <c r="F76" s="147"/>
      <c r="G76" s="55"/>
      <c r="H76" s="57"/>
      <c r="I76" s="57"/>
      <c r="J76" s="57"/>
      <c r="K76" s="57"/>
      <c r="L76" s="57"/>
      <c r="M76" s="57"/>
      <c r="N76" s="57"/>
      <c r="O76" s="57"/>
      <c r="P76" s="57"/>
    </row>
  </sheetData>
  <mergeCells count="18">
    <mergeCell ref="B34:F34"/>
    <mergeCell ref="B1:P1"/>
    <mergeCell ref="G2:P2"/>
    <mergeCell ref="B31:F31"/>
    <mergeCell ref="B32:F32"/>
    <mergeCell ref="B33:F33"/>
    <mergeCell ref="B76:F76"/>
    <mergeCell ref="B35:F35"/>
    <mergeCell ref="B36:F36"/>
    <mergeCell ref="B37:F37"/>
    <mergeCell ref="B40:P40"/>
    <mergeCell ref="G41:P41"/>
    <mergeCell ref="B70:F70"/>
    <mergeCell ref="B71:F71"/>
    <mergeCell ref="B72:F72"/>
    <mergeCell ref="B73:F73"/>
    <mergeCell ref="B74:F74"/>
    <mergeCell ref="B75:F7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2798-F909-4B0C-B020-D18D64773083}">
  <dimension ref="A1:V64"/>
  <sheetViews>
    <sheetView workbookViewId="0">
      <selection activeCell="B13" sqref="B13"/>
    </sheetView>
  </sheetViews>
  <sheetFormatPr defaultColWidth="15.7109375" defaultRowHeight="15" x14ac:dyDescent="0.25"/>
  <cols>
    <col min="2" max="2" width="26.85546875" customWidth="1"/>
  </cols>
  <sheetData>
    <row r="1" spans="1:22" x14ac:dyDescent="0.25">
      <c r="A1" s="36"/>
      <c r="B1" s="143" t="s">
        <v>18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</row>
    <row r="2" spans="1:22" x14ac:dyDescent="0.25">
      <c r="A2" s="36"/>
      <c r="B2" s="37"/>
      <c r="C2" s="38" t="s">
        <v>19</v>
      </c>
      <c r="D2" s="39" t="s">
        <v>20</v>
      </c>
      <c r="E2" s="39" t="s">
        <v>21</v>
      </c>
      <c r="F2" s="39" t="s">
        <v>22</v>
      </c>
      <c r="G2" s="144" t="s">
        <v>23</v>
      </c>
      <c r="H2" s="145"/>
      <c r="I2" s="145"/>
      <c r="J2" s="145"/>
      <c r="K2" s="145"/>
      <c r="L2" s="145"/>
      <c r="M2" s="145"/>
      <c r="N2" s="145"/>
      <c r="O2" s="145"/>
      <c r="P2" s="145"/>
    </row>
    <row r="3" spans="1:22" x14ac:dyDescent="0.25">
      <c r="A3" s="36"/>
      <c r="B3" s="38" t="s">
        <v>24</v>
      </c>
      <c r="C3" s="37"/>
      <c r="D3" s="40"/>
      <c r="E3" s="40"/>
      <c r="F3" s="40"/>
      <c r="G3" s="40">
        <v>1</v>
      </c>
      <c r="H3" s="40">
        <f t="shared" ref="H3:P3" si="0">G3+1</f>
        <v>2</v>
      </c>
      <c r="I3" s="40">
        <f t="shared" si="0"/>
        <v>3</v>
      </c>
      <c r="J3" s="40">
        <f t="shared" si="0"/>
        <v>4</v>
      </c>
      <c r="K3" s="40">
        <f t="shared" si="0"/>
        <v>5</v>
      </c>
      <c r="L3" s="40">
        <f t="shared" si="0"/>
        <v>6</v>
      </c>
      <c r="M3" s="40">
        <f t="shared" si="0"/>
        <v>7</v>
      </c>
      <c r="N3" s="40">
        <f t="shared" si="0"/>
        <v>8</v>
      </c>
      <c r="O3" s="40">
        <f t="shared" si="0"/>
        <v>9</v>
      </c>
      <c r="P3" s="40">
        <f t="shared" si="0"/>
        <v>10</v>
      </c>
      <c r="Q3">
        <v>11</v>
      </c>
      <c r="R3">
        <v>12</v>
      </c>
      <c r="S3">
        <v>13</v>
      </c>
      <c r="T3">
        <v>14</v>
      </c>
      <c r="U3">
        <v>15</v>
      </c>
    </row>
    <row r="4" spans="1:22" ht="35.25" customHeight="1" x14ac:dyDescent="0.25">
      <c r="A4" s="36"/>
      <c r="B4" s="61" t="s">
        <v>87</v>
      </c>
      <c r="C4" s="37" t="s">
        <v>36</v>
      </c>
      <c r="D4" s="40"/>
      <c r="E4" s="40"/>
      <c r="F4" s="40">
        <v>200000</v>
      </c>
      <c r="G4" s="40">
        <f>F4</f>
        <v>200000</v>
      </c>
      <c r="H4" s="40">
        <f>F4</f>
        <v>200000</v>
      </c>
      <c r="I4" s="40">
        <f>F4</f>
        <v>200000</v>
      </c>
      <c r="J4" s="40">
        <f>F4</f>
        <v>200000</v>
      </c>
      <c r="K4" s="40">
        <f t="shared" ref="K4:U4" si="1">J4</f>
        <v>200000</v>
      </c>
      <c r="L4" s="40">
        <f t="shared" si="1"/>
        <v>200000</v>
      </c>
      <c r="M4" s="40">
        <f t="shared" si="1"/>
        <v>200000</v>
      </c>
      <c r="N4" s="40">
        <f t="shared" si="1"/>
        <v>200000</v>
      </c>
      <c r="O4" s="40">
        <f t="shared" si="1"/>
        <v>200000</v>
      </c>
      <c r="P4" s="40">
        <f t="shared" si="1"/>
        <v>200000</v>
      </c>
      <c r="Q4" s="40">
        <f t="shared" si="1"/>
        <v>200000</v>
      </c>
      <c r="R4" s="40">
        <f t="shared" si="1"/>
        <v>200000</v>
      </c>
      <c r="S4" s="40">
        <f t="shared" si="1"/>
        <v>200000</v>
      </c>
      <c r="T4" s="40">
        <f t="shared" si="1"/>
        <v>200000</v>
      </c>
      <c r="U4" s="40">
        <f t="shared" si="1"/>
        <v>200000</v>
      </c>
    </row>
    <row r="5" spans="1:22" x14ac:dyDescent="0.25">
      <c r="A5" s="36"/>
      <c r="B5" s="38" t="s">
        <v>30</v>
      </c>
      <c r="C5" s="37"/>
      <c r="D5" s="40"/>
      <c r="E5" s="40"/>
      <c r="F5" s="39">
        <f t="shared" ref="F5:U5" si="2">SUM(F4:F4)</f>
        <v>200000</v>
      </c>
      <c r="G5" s="39">
        <f t="shared" si="2"/>
        <v>200000</v>
      </c>
      <c r="H5" s="39">
        <f t="shared" si="2"/>
        <v>200000</v>
      </c>
      <c r="I5" s="39">
        <f t="shared" si="2"/>
        <v>200000</v>
      </c>
      <c r="J5" s="39">
        <f t="shared" si="2"/>
        <v>200000</v>
      </c>
      <c r="K5" s="39">
        <f t="shared" si="2"/>
        <v>200000</v>
      </c>
      <c r="L5" s="39">
        <f t="shared" si="2"/>
        <v>200000</v>
      </c>
      <c r="M5" s="39">
        <f t="shared" si="2"/>
        <v>200000</v>
      </c>
      <c r="N5" s="39">
        <f t="shared" si="2"/>
        <v>200000</v>
      </c>
      <c r="O5" s="39">
        <f t="shared" si="2"/>
        <v>200000</v>
      </c>
      <c r="P5" s="39">
        <f t="shared" si="2"/>
        <v>200000</v>
      </c>
      <c r="Q5" s="39">
        <f t="shared" si="2"/>
        <v>200000</v>
      </c>
      <c r="R5" s="39">
        <f t="shared" si="2"/>
        <v>200000</v>
      </c>
      <c r="S5" s="39">
        <f t="shared" si="2"/>
        <v>200000</v>
      </c>
      <c r="T5" s="39">
        <f t="shared" si="2"/>
        <v>200000</v>
      </c>
      <c r="U5" s="39">
        <f t="shared" si="2"/>
        <v>200000</v>
      </c>
    </row>
    <row r="6" spans="1:22" x14ac:dyDescent="0.25">
      <c r="A6" s="36"/>
      <c r="B6" s="37"/>
      <c r="C6" s="37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</row>
    <row r="7" spans="1:22" x14ac:dyDescent="0.25">
      <c r="A7" s="36"/>
      <c r="B7" s="43" t="s">
        <v>31</v>
      </c>
      <c r="C7" s="37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</row>
    <row r="8" spans="1:22" x14ac:dyDescent="0.25">
      <c r="A8" s="36"/>
      <c r="B8" s="38" t="s">
        <v>32</v>
      </c>
      <c r="C8" s="37"/>
      <c r="D8" s="40"/>
      <c r="E8" s="40"/>
      <c r="F8" s="44"/>
      <c r="G8" s="40"/>
      <c r="H8" s="40"/>
      <c r="I8" s="40"/>
      <c r="J8" s="40"/>
      <c r="K8" s="40"/>
      <c r="L8" s="40"/>
      <c r="M8" s="40"/>
      <c r="N8" s="40"/>
      <c r="O8" s="40"/>
      <c r="P8" s="40"/>
    </row>
    <row r="9" spans="1:22" x14ac:dyDescent="0.25">
      <c r="A9" s="36"/>
      <c r="B9" s="63" t="s">
        <v>81</v>
      </c>
      <c r="C9" s="37" t="s">
        <v>36</v>
      </c>
      <c r="D9" s="40">
        <v>1</v>
      </c>
      <c r="E9" s="40">
        <v>400000</v>
      </c>
      <c r="F9" s="40">
        <f>D9*E9</f>
        <v>400000</v>
      </c>
      <c r="G9" s="40">
        <f>D9*E9</f>
        <v>400000</v>
      </c>
      <c r="H9" s="40">
        <v>0</v>
      </c>
      <c r="I9" s="40">
        <v>10000</v>
      </c>
      <c r="J9" s="40"/>
      <c r="K9" s="40"/>
      <c r="L9" s="40">
        <v>10000</v>
      </c>
      <c r="M9" s="40"/>
      <c r="N9" s="40"/>
      <c r="O9" s="40">
        <v>10000</v>
      </c>
      <c r="P9" s="40"/>
      <c r="R9">
        <v>10000</v>
      </c>
      <c r="U9" s="48">
        <v>10000</v>
      </c>
    </row>
    <row r="10" spans="1:22" x14ac:dyDescent="0.25">
      <c r="A10" s="36"/>
      <c r="B10" s="38" t="s">
        <v>37</v>
      </c>
      <c r="C10" s="37"/>
      <c r="D10" s="40"/>
      <c r="E10" s="40"/>
      <c r="F10" s="39">
        <f t="shared" ref="F10:U10" si="3">SUM(F9:F9)</f>
        <v>400000</v>
      </c>
      <c r="G10" s="39">
        <f t="shared" si="3"/>
        <v>400000</v>
      </c>
      <c r="H10" s="39">
        <f t="shared" si="3"/>
        <v>0</v>
      </c>
      <c r="I10" s="39">
        <f t="shared" si="3"/>
        <v>10000</v>
      </c>
      <c r="J10" s="39">
        <f t="shared" si="3"/>
        <v>0</v>
      </c>
      <c r="K10" s="39">
        <f t="shared" si="3"/>
        <v>0</v>
      </c>
      <c r="L10" s="39">
        <f t="shared" si="3"/>
        <v>10000</v>
      </c>
      <c r="M10" s="39">
        <f t="shared" si="3"/>
        <v>0</v>
      </c>
      <c r="N10" s="39">
        <f t="shared" si="3"/>
        <v>0</v>
      </c>
      <c r="O10" s="39">
        <f t="shared" si="3"/>
        <v>10000</v>
      </c>
      <c r="P10" s="39">
        <f t="shared" si="3"/>
        <v>0</v>
      </c>
      <c r="Q10" s="39">
        <f t="shared" si="3"/>
        <v>0</v>
      </c>
      <c r="R10" s="39">
        <f t="shared" si="3"/>
        <v>10000</v>
      </c>
      <c r="S10" s="39">
        <f t="shared" si="3"/>
        <v>0</v>
      </c>
      <c r="T10" s="39">
        <f t="shared" si="3"/>
        <v>0</v>
      </c>
      <c r="U10" s="39">
        <f t="shared" si="3"/>
        <v>10000</v>
      </c>
    </row>
    <row r="11" spans="1:22" x14ac:dyDescent="0.25">
      <c r="A11" s="36"/>
      <c r="B11" s="37"/>
      <c r="C11" s="37"/>
      <c r="D11" s="40"/>
      <c r="E11" s="40"/>
      <c r="F11" s="40">
        <f t="shared" ref="F11:F12" si="4">D11*E11</f>
        <v>0</v>
      </c>
      <c r="G11" s="40"/>
      <c r="H11" s="40"/>
      <c r="I11" s="40"/>
      <c r="J11" s="40"/>
      <c r="K11" s="40"/>
      <c r="L11" s="40"/>
      <c r="M11" s="40"/>
      <c r="N11" s="40"/>
      <c r="O11" s="40"/>
      <c r="P11" s="40"/>
    </row>
    <row r="12" spans="1:22" x14ac:dyDescent="0.25">
      <c r="A12" s="36"/>
      <c r="B12" s="38" t="s">
        <v>38</v>
      </c>
      <c r="C12" s="37"/>
      <c r="D12" s="40"/>
      <c r="E12" s="40"/>
      <c r="F12" s="40">
        <f t="shared" si="4"/>
        <v>0</v>
      </c>
      <c r="G12" s="40"/>
      <c r="H12" s="40"/>
      <c r="I12" s="40"/>
      <c r="J12" s="40"/>
      <c r="K12" s="40"/>
      <c r="L12" s="40"/>
      <c r="M12" s="40"/>
      <c r="N12" s="40"/>
      <c r="O12" s="40"/>
      <c r="P12" s="40"/>
    </row>
    <row r="13" spans="1:22" x14ac:dyDescent="0.25">
      <c r="B13" s="64" t="s">
        <v>82</v>
      </c>
      <c r="C13" s="37" t="s">
        <v>40</v>
      </c>
      <c r="D13" s="40"/>
      <c r="E13" s="40"/>
      <c r="F13" s="40">
        <v>15000</v>
      </c>
      <c r="G13" s="40">
        <f>F13</f>
        <v>15000</v>
      </c>
      <c r="H13" s="40">
        <f>G13</f>
        <v>15000</v>
      </c>
      <c r="I13" s="40">
        <f t="shared" ref="I13:U16" si="5">H13</f>
        <v>15000</v>
      </c>
      <c r="J13" s="40">
        <f t="shared" si="5"/>
        <v>15000</v>
      </c>
      <c r="K13" s="40">
        <f t="shared" si="5"/>
        <v>15000</v>
      </c>
      <c r="L13" s="40">
        <f t="shared" si="5"/>
        <v>15000</v>
      </c>
      <c r="M13" s="40">
        <f t="shared" si="5"/>
        <v>15000</v>
      </c>
      <c r="N13" s="40">
        <f t="shared" si="5"/>
        <v>15000</v>
      </c>
      <c r="O13" s="40">
        <f t="shared" si="5"/>
        <v>15000</v>
      </c>
      <c r="P13" s="40">
        <f t="shared" si="5"/>
        <v>15000</v>
      </c>
      <c r="Q13" s="40">
        <f t="shared" si="5"/>
        <v>15000</v>
      </c>
      <c r="R13" s="40">
        <f t="shared" si="5"/>
        <v>15000</v>
      </c>
      <c r="S13" s="40">
        <f t="shared" si="5"/>
        <v>15000</v>
      </c>
      <c r="T13" s="40">
        <f t="shared" si="5"/>
        <v>15000</v>
      </c>
      <c r="U13" s="40">
        <f t="shared" si="5"/>
        <v>15000</v>
      </c>
    </row>
    <row r="14" spans="1:22" x14ac:dyDescent="0.25">
      <c r="B14" s="65" t="s">
        <v>7</v>
      </c>
      <c r="C14" s="37" t="s">
        <v>40</v>
      </c>
      <c r="D14" s="40"/>
      <c r="E14" s="40"/>
      <c r="F14" s="40">
        <v>15000</v>
      </c>
      <c r="G14" s="40">
        <f>F14</f>
        <v>15000</v>
      </c>
      <c r="H14" s="40">
        <f t="shared" ref="H14:T16" si="6">G14</f>
        <v>15000</v>
      </c>
      <c r="I14" s="40">
        <f t="shared" si="5"/>
        <v>15000</v>
      </c>
      <c r="J14" s="40">
        <f t="shared" si="5"/>
        <v>15000</v>
      </c>
      <c r="K14" s="40">
        <f t="shared" si="6"/>
        <v>15000</v>
      </c>
      <c r="L14" s="40">
        <f t="shared" si="5"/>
        <v>15000</v>
      </c>
      <c r="M14" s="40">
        <f t="shared" si="5"/>
        <v>15000</v>
      </c>
      <c r="N14" s="40">
        <f t="shared" si="6"/>
        <v>15000</v>
      </c>
      <c r="O14" s="40">
        <f t="shared" si="5"/>
        <v>15000</v>
      </c>
      <c r="P14" s="40">
        <f t="shared" si="5"/>
        <v>15000</v>
      </c>
      <c r="Q14" s="40">
        <f t="shared" si="6"/>
        <v>15000</v>
      </c>
      <c r="R14" s="40">
        <f t="shared" si="5"/>
        <v>15000</v>
      </c>
      <c r="S14" s="40">
        <f t="shared" si="5"/>
        <v>15000</v>
      </c>
      <c r="T14" s="40">
        <f t="shared" si="6"/>
        <v>15000</v>
      </c>
      <c r="U14" s="40">
        <f t="shared" si="5"/>
        <v>15000</v>
      </c>
    </row>
    <row r="15" spans="1:22" x14ac:dyDescent="0.25">
      <c r="A15" s="36"/>
      <c r="B15" s="45" t="s">
        <v>41</v>
      </c>
      <c r="C15" s="37" t="s">
        <v>40</v>
      </c>
      <c r="D15" s="40"/>
      <c r="E15" s="40"/>
      <c r="F15" s="40">
        <v>10000</v>
      </c>
      <c r="G15" s="40">
        <f>F15</f>
        <v>10000</v>
      </c>
      <c r="H15" s="40">
        <f>G15</f>
        <v>10000</v>
      </c>
      <c r="I15" s="40">
        <f t="shared" si="5"/>
        <v>10000</v>
      </c>
      <c r="J15" s="40">
        <f t="shared" si="5"/>
        <v>10000</v>
      </c>
      <c r="K15" s="40">
        <f t="shared" si="6"/>
        <v>10000</v>
      </c>
      <c r="L15" s="40">
        <f t="shared" si="5"/>
        <v>10000</v>
      </c>
      <c r="M15" s="40">
        <f t="shared" si="5"/>
        <v>10000</v>
      </c>
      <c r="N15" s="40">
        <f t="shared" si="6"/>
        <v>10000</v>
      </c>
      <c r="O15" s="40">
        <f t="shared" si="5"/>
        <v>10000</v>
      </c>
      <c r="P15" s="40">
        <f t="shared" si="5"/>
        <v>10000</v>
      </c>
      <c r="Q15" s="40">
        <f t="shared" si="6"/>
        <v>10000</v>
      </c>
      <c r="R15" s="40">
        <f t="shared" si="5"/>
        <v>10000</v>
      </c>
      <c r="S15" s="40">
        <f t="shared" si="5"/>
        <v>10000</v>
      </c>
      <c r="T15" s="40">
        <f t="shared" si="6"/>
        <v>10000</v>
      </c>
      <c r="U15" s="40">
        <f t="shared" si="5"/>
        <v>10000</v>
      </c>
    </row>
    <row r="16" spans="1:22" x14ac:dyDescent="0.25">
      <c r="A16" s="36"/>
      <c r="B16" s="45" t="s">
        <v>83</v>
      </c>
      <c r="C16" s="37" t="s">
        <v>40</v>
      </c>
      <c r="D16" s="40"/>
      <c r="E16" s="40"/>
      <c r="F16" s="40">
        <v>56000</v>
      </c>
      <c r="G16" s="40">
        <f>F16</f>
        <v>56000</v>
      </c>
      <c r="H16" s="40">
        <f>G16</f>
        <v>56000</v>
      </c>
      <c r="I16" s="40">
        <f t="shared" si="5"/>
        <v>56000</v>
      </c>
      <c r="J16" s="40">
        <f t="shared" si="5"/>
        <v>56000</v>
      </c>
      <c r="K16" s="40">
        <f t="shared" si="6"/>
        <v>56000</v>
      </c>
      <c r="L16" s="40">
        <f t="shared" si="5"/>
        <v>56000</v>
      </c>
      <c r="M16" s="40">
        <f t="shared" si="5"/>
        <v>56000</v>
      </c>
      <c r="N16" s="40">
        <f t="shared" si="6"/>
        <v>56000</v>
      </c>
      <c r="O16" s="40">
        <f t="shared" si="5"/>
        <v>56000</v>
      </c>
      <c r="P16" s="40">
        <f t="shared" si="5"/>
        <v>56000</v>
      </c>
      <c r="Q16" s="40">
        <f t="shared" si="6"/>
        <v>56000</v>
      </c>
      <c r="R16" s="40">
        <f t="shared" si="5"/>
        <v>56000</v>
      </c>
      <c r="S16" s="40">
        <f t="shared" si="5"/>
        <v>56000</v>
      </c>
      <c r="T16" s="40">
        <f t="shared" si="6"/>
        <v>56000</v>
      </c>
      <c r="U16" s="40">
        <f t="shared" si="5"/>
        <v>56000</v>
      </c>
      <c r="V16" s="46"/>
    </row>
    <row r="17" spans="1:22" x14ac:dyDescent="0.25">
      <c r="A17" s="36"/>
      <c r="B17" s="45"/>
      <c r="C17" s="37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6"/>
    </row>
    <row r="18" spans="1:22" x14ac:dyDescent="0.25">
      <c r="A18" s="36"/>
      <c r="B18" s="45" t="s">
        <v>84</v>
      </c>
      <c r="C18" s="37" t="s">
        <v>40</v>
      </c>
      <c r="D18" s="40"/>
      <c r="E18" s="40"/>
      <c r="F18" s="40">
        <v>8900</v>
      </c>
      <c r="G18" s="40">
        <f t="shared" ref="G18:U18" si="7">F18</f>
        <v>8900</v>
      </c>
      <c r="H18" s="40">
        <f t="shared" si="7"/>
        <v>8900</v>
      </c>
      <c r="I18" s="40">
        <f t="shared" si="7"/>
        <v>8900</v>
      </c>
      <c r="J18" s="40">
        <f t="shared" si="7"/>
        <v>8900</v>
      </c>
      <c r="K18" s="40">
        <f t="shared" si="7"/>
        <v>8900</v>
      </c>
      <c r="L18" s="40">
        <f t="shared" si="7"/>
        <v>8900</v>
      </c>
      <c r="M18" s="40">
        <f t="shared" si="7"/>
        <v>8900</v>
      </c>
      <c r="N18" s="40">
        <f t="shared" si="7"/>
        <v>8900</v>
      </c>
      <c r="O18" s="40">
        <f t="shared" si="7"/>
        <v>8900</v>
      </c>
      <c r="P18" s="40">
        <f t="shared" si="7"/>
        <v>8900</v>
      </c>
      <c r="Q18" s="40">
        <f t="shared" si="7"/>
        <v>8900</v>
      </c>
      <c r="R18" s="40">
        <f t="shared" si="7"/>
        <v>8900</v>
      </c>
      <c r="S18" s="40">
        <f t="shared" si="7"/>
        <v>8900</v>
      </c>
      <c r="T18" s="40">
        <f t="shared" si="7"/>
        <v>8900</v>
      </c>
      <c r="U18" s="40">
        <f t="shared" si="7"/>
        <v>8900</v>
      </c>
      <c r="V18" s="46"/>
    </row>
    <row r="19" spans="1:22" x14ac:dyDescent="0.25">
      <c r="A19" s="36"/>
      <c r="B19" s="45"/>
      <c r="C19" s="37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</row>
    <row r="20" spans="1:22" x14ac:dyDescent="0.25">
      <c r="A20" s="36"/>
      <c r="B20" s="38" t="s">
        <v>44</v>
      </c>
      <c r="C20" s="37"/>
      <c r="D20" s="40"/>
      <c r="E20" s="40"/>
      <c r="F20" s="39">
        <f>SUM(F13:F19)</f>
        <v>104900</v>
      </c>
      <c r="G20" s="39">
        <f t="shared" ref="G20:U20" si="8">SUM(G13:G19)</f>
        <v>104900</v>
      </c>
      <c r="H20" s="39">
        <f t="shared" si="8"/>
        <v>104900</v>
      </c>
      <c r="I20" s="39">
        <f t="shared" si="8"/>
        <v>104900</v>
      </c>
      <c r="J20" s="39">
        <f t="shared" si="8"/>
        <v>104900</v>
      </c>
      <c r="K20" s="39">
        <f t="shared" si="8"/>
        <v>104900</v>
      </c>
      <c r="L20" s="39">
        <f t="shared" si="8"/>
        <v>104900</v>
      </c>
      <c r="M20" s="39">
        <f t="shared" si="8"/>
        <v>104900</v>
      </c>
      <c r="N20" s="39">
        <f t="shared" si="8"/>
        <v>104900</v>
      </c>
      <c r="O20" s="39">
        <f t="shared" si="8"/>
        <v>104900</v>
      </c>
      <c r="P20" s="39">
        <f t="shared" si="8"/>
        <v>104900</v>
      </c>
      <c r="Q20" s="39">
        <f t="shared" si="8"/>
        <v>104900</v>
      </c>
      <c r="R20" s="39">
        <f t="shared" si="8"/>
        <v>104900</v>
      </c>
      <c r="S20" s="39">
        <f t="shared" si="8"/>
        <v>104900</v>
      </c>
      <c r="T20" s="39">
        <f t="shared" si="8"/>
        <v>104900</v>
      </c>
      <c r="U20" s="39">
        <f t="shared" si="8"/>
        <v>104900</v>
      </c>
    </row>
    <row r="21" spans="1:22" x14ac:dyDescent="0.25">
      <c r="A21" s="36"/>
      <c r="B21" s="47"/>
      <c r="C21" s="37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</row>
    <row r="22" spans="1:22" x14ac:dyDescent="0.25">
      <c r="A22" s="36"/>
      <c r="B22" s="38" t="s">
        <v>45</v>
      </c>
      <c r="C22" s="37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</row>
    <row r="23" spans="1:22" x14ac:dyDescent="0.25">
      <c r="A23" s="36"/>
      <c r="B23" s="37" t="s">
        <v>46</v>
      </c>
      <c r="C23" s="37" t="s">
        <v>47</v>
      </c>
      <c r="D23" s="40">
        <v>1</v>
      </c>
      <c r="E23" s="49">
        <f>E9/15</f>
        <v>26666.666666666668</v>
      </c>
      <c r="F23" s="40">
        <f>D23*E23</f>
        <v>26666.666666666668</v>
      </c>
      <c r="G23" s="40"/>
      <c r="H23" s="40">
        <f>D23*E23</f>
        <v>26666.666666666668</v>
      </c>
      <c r="I23" s="40">
        <f t="shared" ref="I23:U24" si="9">H23</f>
        <v>26666.666666666668</v>
      </c>
      <c r="J23" s="40">
        <f t="shared" si="9"/>
        <v>26666.666666666668</v>
      </c>
      <c r="K23" s="40">
        <f t="shared" si="9"/>
        <v>26666.666666666668</v>
      </c>
      <c r="L23" s="40">
        <f t="shared" si="9"/>
        <v>26666.666666666668</v>
      </c>
      <c r="M23" s="40">
        <f t="shared" si="9"/>
        <v>26666.666666666668</v>
      </c>
      <c r="N23" s="40">
        <f t="shared" si="9"/>
        <v>26666.666666666668</v>
      </c>
      <c r="O23" s="40">
        <f t="shared" si="9"/>
        <v>26666.666666666668</v>
      </c>
      <c r="P23" s="40">
        <f t="shared" si="9"/>
        <v>26666.666666666668</v>
      </c>
      <c r="Q23" s="40">
        <f t="shared" si="9"/>
        <v>26666.666666666668</v>
      </c>
      <c r="R23" s="40">
        <f t="shared" si="9"/>
        <v>26666.666666666668</v>
      </c>
      <c r="S23" s="40">
        <f t="shared" si="9"/>
        <v>26666.666666666668</v>
      </c>
      <c r="T23" s="40">
        <f t="shared" si="9"/>
        <v>26666.666666666668</v>
      </c>
      <c r="U23" s="40">
        <f t="shared" si="9"/>
        <v>26666.666666666668</v>
      </c>
      <c r="V23" s="48">
        <f>SUM(H23:U23)</f>
        <v>373333.33333333337</v>
      </c>
    </row>
    <row r="24" spans="1:22" x14ac:dyDescent="0.25">
      <c r="A24" s="36"/>
      <c r="B24" s="37" t="s">
        <v>85</v>
      </c>
      <c r="C24" s="37" t="s">
        <v>86</v>
      </c>
      <c r="D24" s="40"/>
      <c r="E24" s="49">
        <v>10000</v>
      </c>
      <c r="F24" s="40">
        <f>E24</f>
        <v>10000</v>
      </c>
      <c r="G24" s="40">
        <f>F24</f>
        <v>10000</v>
      </c>
      <c r="H24" s="40">
        <f t="shared" ref="H24" si="10">G24</f>
        <v>10000</v>
      </c>
      <c r="I24" s="40">
        <f t="shared" si="9"/>
        <v>10000</v>
      </c>
      <c r="J24" s="40">
        <f t="shared" si="9"/>
        <v>10000</v>
      </c>
      <c r="K24" s="40">
        <f t="shared" si="9"/>
        <v>10000</v>
      </c>
      <c r="L24" s="40">
        <f t="shared" si="9"/>
        <v>10000</v>
      </c>
      <c r="M24" s="40">
        <f t="shared" si="9"/>
        <v>10000</v>
      </c>
      <c r="N24" s="40">
        <f t="shared" si="9"/>
        <v>10000</v>
      </c>
      <c r="O24" s="40">
        <f t="shared" si="9"/>
        <v>10000</v>
      </c>
      <c r="P24" s="40">
        <f t="shared" si="9"/>
        <v>10000</v>
      </c>
      <c r="Q24" s="40">
        <f t="shared" si="9"/>
        <v>10000</v>
      </c>
      <c r="R24" s="40">
        <f t="shared" si="9"/>
        <v>10000</v>
      </c>
      <c r="S24" s="40">
        <f t="shared" si="9"/>
        <v>10000</v>
      </c>
      <c r="T24" s="40">
        <f t="shared" si="9"/>
        <v>10000</v>
      </c>
      <c r="U24" s="40">
        <f t="shared" si="9"/>
        <v>10000</v>
      </c>
      <c r="V24" s="48"/>
    </row>
    <row r="25" spans="1:22" x14ac:dyDescent="0.25">
      <c r="A25" s="36"/>
      <c r="B25" s="38" t="s">
        <v>48</v>
      </c>
      <c r="C25" s="37"/>
      <c r="D25" s="40"/>
      <c r="E25" s="40"/>
      <c r="F25" s="39">
        <f t="shared" ref="F25:U25" si="11">SUM(F23:F23)</f>
        <v>26666.666666666668</v>
      </c>
      <c r="G25" s="39">
        <f t="shared" si="11"/>
        <v>0</v>
      </c>
      <c r="H25" s="39">
        <f>SUM(H23:H24)</f>
        <v>36666.666666666672</v>
      </c>
      <c r="I25" s="39">
        <f t="shared" si="11"/>
        <v>26666.666666666668</v>
      </c>
      <c r="J25" s="39">
        <f t="shared" si="11"/>
        <v>26666.666666666668</v>
      </c>
      <c r="K25" s="39">
        <f t="shared" si="11"/>
        <v>26666.666666666668</v>
      </c>
      <c r="L25" s="39">
        <f t="shared" si="11"/>
        <v>26666.666666666668</v>
      </c>
      <c r="M25" s="39">
        <f t="shared" si="11"/>
        <v>26666.666666666668</v>
      </c>
      <c r="N25" s="39">
        <f t="shared" si="11"/>
        <v>26666.666666666668</v>
      </c>
      <c r="O25" s="39">
        <f t="shared" si="11"/>
        <v>26666.666666666668</v>
      </c>
      <c r="P25" s="39">
        <f t="shared" si="11"/>
        <v>26666.666666666668</v>
      </c>
      <c r="Q25" s="39">
        <f t="shared" si="11"/>
        <v>26666.666666666668</v>
      </c>
      <c r="R25" s="39">
        <f t="shared" si="11"/>
        <v>26666.666666666668</v>
      </c>
      <c r="S25" s="39">
        <f t="shared" si="11"/>
        <v>26666.666666666668</v>
      </c>
      <c r="T25" s="39">
        <f t="shared" si="11"/>
        <v>26666.666666666668</v>
      </c>
      <c r="U25" s="39">
        <f t="shared" si="11"/>
        <v>26666.666666666668</v>
      </c>
    </row>
    <row r="26" spans="1:22" x14ac:dyDescent="0.25">
      <c r="A26" s="36"/>
      <c r="B26" s="38" t="s">
        <v>49</v>
      </c>
      <c r="C26" s="37"/>
      <c r="D26" s="40"/>
      <c r="E26" s="40"/>
      <c r="F26" s="39">
        <f t="shared" ref="F26:U26" si="12">F10+F20+F25</f>
        <v>531566.66666666663</v>
      </c>
      <c r="G26" s="39">
        <f t="shared" si="12"/>
        <v>504900</v>
      </c>
      <c r="H26" s="39">
        <f t="shared" si="12"/>
        <v>141566.66666666669</v>
      </c>
      <c r="I26" s="39">
        <f t="shared" si="12"/>
        <v>141566.66666666666</v>
      </c>
      <c r="J26" s="39">
        <f t="shared" si="12"/>
        <v>131566.66666666666</v>
      </c>
      <c r="K26" s="39">
        <f t="shared" si="12"/>
        <v>131566.66666666666</v>
      </c>
      <c r="L26" s="39">
        <f t="shared" si="12"/>
        <v>141566.66666666666</v>
      </c>
      <c r="M26" s="39">
        <f t="shared" si="12"/>
        <v>131566.66666666666</v>
      </c>
      <c r="N26" s="39">
        <f t="shared" si="12"/>
        <v>131566.66666666666</v>
      </c>
      <c r="O26" s="39">
        <f t="shared" si="12"/>
        <v>141566.66666666666</v>
      </c>
      <c r="P26" s="39">
        <f t="shared" si="12"/>
        <v>131566.66666666666</v>
      </c>
      <c r="Q26" s="39">
        <f t="shared" si="12"/>
        <v>131566.66666666666</v>
      </c>
      <c r="R26" s="39">
        <f t="shared" si="12"/>
        <v>141566.66666666666</v>
      </c>
      <c r="S26" s="39">
        <f t="shared" si="12"/>
        <v>131566.66666666666</v>
      </c>
      <c r="T26" s="39">
        <f t="shared" si="12"/>
        <v>131566.66666666666</v>
      </c>
      <c r="U26" s="39">
        <f t="shared" si="12"/>
        <v>141566.66666666666</v>
      </c>
    </row>
    <row r="27" spans="1:22" x14ac:dyDescent="0.25">
      <c r="A27" s="36"/>
      <c r="B27" s="38"/>
      <c r="C27" s="37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</row>
    <row r="28" spans="1:22" x14ac:dyDescent="0.25">
      <c r="A28" s="36"/>
      <c r="B28" s="38" t="s">
        <v>50</v>
      </c>
      <c r="C28" s="37" t="s">
        <v>47</v>
      </c>
      <c r="D28" s="40"/>
      <c r="E28" s="40"/>
      <c r="F28" s="40"/>
      <c r="G28" s="39">
        <f t="shared" ref="G28:U28" si="13">G5-G10-G20</f>
        <v>-304900</v>
      </c>
      <c r="H28" s="39">
        <f t="shared" si="13"/>
        <v>95100</v>
      </c>
      <c r="I28" s="39">
        <f t="shared" si="13"/>
        <v>85100</v>
      </c>
      <c r="J28" s="39">
        <f t="shared" si="13"/>
        <v>95100</v>
      </c>
      <c r="K28" s="39">
        <f t="shared" si="13"/>
        <v>95100</v>
      </c>
      <c r="L28" s="39">
        <f t="shared" si="13"/>
        <v>85100</v>
      </c>
      <c r="M28" s="39">
        <f t="shared" si="13"/>
        <v>95100</v>
      </c>
      <c r="N28" s="39">
        <f t="shared" si="13"/>
        <v>95100</v>
      </c>
      <c r="O28" s="39">
        <f t="shared" si="13"/>
        <v>85100</v>
      </c>
      <c r="P28" s="39">
        <f t="shared" si="13"/>
        <v>95100</v>
      </c>
      <c r="Q28" s="39">
        <f t="shared" si="13"/>
        <v>95100</v>
      </c>
      <c r="R28" s="39">
        <f t="shared" si="13"/>
        <v>85100</v>
      </c>
      <c r="S28" s="39">
        <f t="shared" si="13"/>
        <v>95100</v>
      </c>
      <c r="T28" s="39">
        <f t="shared" si="13"/>
        <v>95100</v>
      </c>
      <c r="U28" s="39">
        <f t="shared" si="13"/>
        <v>85100</v>
      </c>
    </row>
    <row r="29" spans="1:22" x14ac:dyDescent="0.25">
      <c r="A29" s="36"/>
      <c r="B29" s="38" t="s">
        <v>71</v>
      </c>
      <c r="C29" s="37" t="s">
        <v>88</v>
      </c>
      <c r="D29" s="40"/>
      <c r="E29" s="40"/>
      <c r="F29" s="40"/>
      <c r="G29" s="39">
        <f>G28-G25</f>
        <v>-304900</v>
      </c>
      <c r="H29" s="39">
        <f>H28-H25</f>
        <v>58433.333333333328</v>
      </c>
      <c r="I29" s="39">
        <f>I28-I25</f>
        <v>58433.333333333328</v>
      </c>
      <c r="J29" s="39">
        <f>J28-J25</f>
        <v>68433.333333333328</v>
      </c>
      <c r="K29" s="39">
        <f>K28-K25</f>
        <v>68433.333333333328</v>
      </c>
      <c r="L29" s="39">
        <f t="shared" ref="L29:U29" si="14">L28-L25</f>
        <v>58433.333333333328</v>
      </c>
      <c r="M29" s="39">
        <f t="shared" si="14"/>
        <v>68433.333333333328</v>
      </c>
      <c r="N29" s="39">
        <f t="shared" si="14"/>
        <v>68433.333333333328</v>
      </c>
      <c r="O29" s="39">
        <f t="shared" si="14"/>
        <v>58433.333333333328</v>
      </c>
      <c r="P29" s="39">
        <f t="shared" si="14"/>
        <v>68433.333333333328</v>
      </c>
      <c r="Q29" s="39">
        <f t="shared" si="14"/>
        <v>68433.333333333328</v>
      </c>
      <c r="R29" s="39">
        <f t="shared" si="14"/>
        <v>58433.333333333328</v>
      </c>
      <c r="S29" s="39">
        <f t="shared" si="14"/>
        <v>68433.333333333328</v>
      </c>
      <c r="T29" s="39">
        <f t="shared" si="14"/>
        <v>68433.333333333328</v>
      </c>
      <c r="U29" s="39">
        <f t="shared" si="14"/>
        <v>58433.333333333328</v>
      </c>
    </row>
    <row r="30" spans="1:22" x14ac:dyDescent="0.25">
      <c r="A30" s="1"/>
      <c r="B30" s="140" t="s">
        <v>52</v>
      </c>
      <c r="C30" s="141"/>
      <c r="D30" s="141"/>
      <c r="E30" s="141"/>
      <c r="F30" s="142"/>
      <c r="G30" s="53">
        <f>IRR(G29:U29)</f>
        <v>0.18940991591381651</v>
      </c>
      <c r="H30" s="54"/>
      <c r="I30" s="54"/>
      <c r="J30" s="54"/>
      <c r="K30" s="54"/>
      <c r="L30" s="54"/>
      <c r="M30" s="54"/>
      <c r="N30" s="54"/>
      <c r="O30" s="54"/>
      <c r="P30" s="54"/>
    </row>
    <row r="31" spans="1:22" x14ac:dyDescent="0.25">
      <c r="A31" s="1"/>
      <c r="B31" s="140" t="s">
        <v>53</v>
      </c>
      <c r="C31" s="141"/>
      <c r="D31" s="141"/>
      <c r="E31" s="141"/>
      <c r="F31" s="142"/>
      <c r="G31" s="55">
        <f>NPV(0.1,G29:U29)</f>
        <v>149871.87984710501</v>
      </c>
      <c r="H31" s="54"/>
      <c r="I31" s="54"/>
      <c r="J31" s="54"/>
      <c r="K31" s="54"/>
      <c r="L31" s="54"/>
      <c r="M31" s="54"/>
      <c r="N31" s="54"/>
      <c r="O31" s="54"/>
      <c r="P31" s="54"/>
    </row>
    <row r="32" spans="1:22" x14ac:dyDescent="0.25">
      <c r="A32" s="1"/>
      <c r="B32" s="50"/>
      <c r="C32" s="51"/>
      <c r="D32" s="51"/>
      <c r="E32" s="51"/>
      <c r="F32" s="52"/>
      <c r="G32" s="55"/>
      <c r="H32" s="54"/>
      <c r="I32" s="54"/>
      <c r="J32" s="54"/>
      <c r="K32" s="54"/>
      <c r="L32" s="54"/>
      <c r="M32" s="54"/>
      <c r="N32" s="54"/>
      <c r="O32" s="54"/>
      <c r="P32" s="54"/>
    </row>
    <row r="33" spans="1:21" x14ac:dyDescent="0.25">
      <c r="A33" s="36"/>
      <c r="B33" s="36"/>
      <c r="C33" s="36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</row>
    <row r="34" spans="1:21" x14ac:dyDescent="0.25">
      <c r="A34" s="36"/>
      <c r="B34" s="143" t="s">
        <v>54</v>
      </c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</row>
    <row r="35" spans="1:21" x14ac:dyDescent="0.25">
      <c r="A35" s="36"/>
      <c r="B35" s="37"/>
      <c r="C35" s="38" t="s">
        <v>19</v>
      </c>
      <c r="D35" s="39" t="s">
        <v>20</v>
      </c>
      <c r="E35" s="39" t="s">
        <v>21</v>
      </c>
      <c r="F35" s="39" t="s">
        <v>22</v>
      </c>
      <c r="G35" s="144" t="s">
        <v>23</v>
      </c>
      <c r="H35" s="145"/>
      <c r="I35" s="145"/>
      <c r="J35" s="145"/>
      <c r="K35" s="145"/>
      <c r="L35" s="145"/>
      <c r="M35" s="145"/>
      <c r="N35" s="145"/>
      <c r="O35" s="145"/>
      <c r="P35" s="145"/>
    </row>
    <row r="36" spans="1:21" x14ac:dyDescent="0.25">
      <c r="A36" s="36"/>
      <c r="B36" s="38" t="s">
        <v>24</v>
      </c>
      <c r="C36" s="37"/>
      <c r="D36" s="40"/>
      <c r="E36" s="40"/>
      <c r="F36" s="40"/>
      <c r="G36" s="40">
        <v>1</v>
      </c>
      <c r="H36" s="40">
        <f t="shared" ref="H36:P36" si="15">G36+1</f>
        <v>2</v>
      </c>
      <c r="I36" s="40">
        <f t="shared" si="15"/>
        <v>3</v>
      </c>
      <c r="J36" s="40">
        <f t="shared" si="15"/>
        <v>4</v>
      </c>
      <c r="K36" s="40">
        <f t="shared" si="15"/>
        <v>5</v>
      </c>
      <c r="L36" s="40">
        <f t="shared" si="15"/>
        <v>6</v>
      </c>
      <c r="M36" s="40">
        <f t="shared" si="15"/>
        <v>7</v>
      </c>
      <c r="N36" s="40">
        <f t="shared" si="15"/>
        <v>8</v>
      </c>
      <c r="O36" s="40">
        <f t="shared" si="15"/>
        <v>9</v>
      </c>
      <c r="P36" s="40">
        <f t="shared" si="15"/>
        <v>10</v>
      </c>
      <c r="Q36">
        <v>11</v>
      </c>
      <c r="R36">
        <v>12</v>
      </c>
      <c r="S36">
        <v>13</v>
      </c>
      <c r="T36">
        <v>14</v>
      </c>
      <c r="U36">
        <v>15</v>
      </c>
    </row>
    <row r="37" spans="1:21" ht="35.25" customHeight="1" x14ac:dyDescent="0.25">
      <c r="A37" s="36"/>
      <c r="B37" s="61" t="s">
        <v>87</v>
      </c>
      <c r="C37" s="37" t="s">
        <v>36</v>
      </c>
      <c r="D37" s="40"/>
      <c r="E37" s="40"/>
      <c r="F37" s="40">
        <f>F4*0.87</f>
        <v>174000</v>
      </c>
      <c r="G37" s="40">
        <f>F37</f>
        <v>174000</v>
      </c>
      <c r="H37" s="40">
        <f>F37</f>
        <v>174000</v>
      </c>
      <c r="I37" s="40">
        <f>F37</f>
        <v>174000</v>
      </c>
      <c r="J37" s="40">
        <f>F37</f>
        <v>174000</v>
      </c>
      <c r="K37" s="40">
        <f t="shared" ref="K37:U37" si="16">J37</f>
        <v>174000</v>
      </c>
      <c r="L37" s="40">
        <f t="shared" si="16"/>
        <v>174000</v>
      </c>
      <c r="M37" s="40">
        <f t="shared" si="16"/>
        <v>174000</v>
      </c>
      <c r="N37" s="40">
        <f t="shared" si="16"/>
        <v>174000</v>
      </c>
      <c r="O37" s="40">
        <f t="shared" si="16"/>
        <v>174000</v>
      </c>
      <c r="P37" s="40">
        <f t="shared" si="16"/>
        <v>174000</v>
      </c>
      <c r="Q37" s="40">
        <f t="shared" si="16"/>
        <v>174000</v>
      </c>
      <c r="R37" s="40">
        <f t="shared" si="16"/>
        <v>174000</v>
      </c>
      <c r="S37" s="40">
        <f t="shared" si="16"/>
        <v>174000</v>
      </c>
      <c r="T37" s="40">
        <f t="shared" si="16"/>
        <v>174000</v>
      </c>
      <c r="U37" s="40">
        <f t="shared" si="16"/>
        <v>174000</v>
      </c>
    </row>
    <row r="38" spans="1:21" x14ac:dyDescent="0.25">
      <c r="A38" s="36"/>
      <c r="B38" s="62"/>
      <c r="C38" s="37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</row>
    <row r="39" spans="1:21" x14ac:dyDescent="0.25">
      <c r="A39" s="36"/>
      <c r="B39" s="38" t="s">
        <v>30</v>
      </c>
      <c r="C39" s="37"/>
      <c r="D39" s="40">
        <f>D5</f>
        <v>0</v>
      </c>
      <c r="E39" s="40">
        <f>E5*0.9</f>
        <v>0</v>
      </c>
      <c r="F39" s="39">
        <f t="shared" ref="F39:U39" si="17">SUM(F37:F38)</f>
        <v>174000</v>
      </c>
      <c r="G39" s="39">
        <f t="shared" si="17"/>
        <v>174000</v>
      </c>
      <c r="H39" s="39">
        <f t="shared" si="17"/>
        <v>174000</v>
      </c>
      <c r="I39" s="39">
        <f t="shared" si="17"/>
        <v>174000</v>
      </c>
      <c r="J39" s="39">
        <f t="shared" si="17"/>
        <v>174000</v>
      </c>
      <c r="K39" s="39">
        <f t="shared" si="17"/>
        <v>174000</v>
      </c>
      <c r="L39" s="39">
        <f t="shared" si="17"/>
        <v>174000</v>
      </c>
      <c r="M39" s="39">
        <f t="shared" si="17"/>
        <v>174000</v>
      </c>
      <c r="N39" s="39">
        <f t="shared" si="17"/>
        <v>174000</v>
      </c>
      <c r="O39" s="39">
        <f t="shared" si="17"/>
        <v>174000</v>
      </c>
      <c r="P39" s="39">
        <f t="shared" si="17"/>
        <v>174000</v>
      </c>
      <c r="Q39" s="39">
        <f t="shared" si="17"/>
        <v>174000</v>
      </c>
      <c r="R39" s="39">
        <f t="shared" si="17"/>
        <v>174000</v>
      </c>
      <c r="S39" s="39">
        <f t="shared" si="17"/>
        <v>174000</v>
      </c>
      <c r="T39" s="39">
        <f t="shared" si="17"/>
        <v>174000</v>
      </c>
      <c r="U39" s="39">
        <f t="shared" si="17"/>
        <v>174000</v>
      </c>
    </row>
    <row r="40" spans="1:21" x14ac:dyDescent="0.25">
      <c r="A40" s="36"/>
      <c r="B40" s="37"/>
      <c r="C40" s="37"/>
      <c r="D40" s="40">
        <f>D6</f>
        <v>0</v>
      </c>
      <c r="E40" s="40">
        <f>E6*0.9</f>
        <v>0</v>
      </c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</row>
    <row r="41" spans="1:21" x14ac:dyDescent="0.25">
      <c r="A41" s="36"/>
      <c r="B41" s="43" t="s">
        <v>31</v>
      </c>
      <c r="C41" s="37"/>
      <c r="D41" s="40">
        <f>D7</f>
        <v>0</v>
      </c>
      <c r="E41" s="40">
        <f>E7*0.9</f>
        <v>0</v>
      </c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</row>
    <row r="42" spans="1:21" x14ac:dyDescent="0.25">
      <c r="A42" s="36"/>
      <c r="B42" s="38" t="s">
        <v>32</v>
      </c>
      <c r="C42" s="37"/>
      <c r="D42" s="40">
        <f>D8</f>
        <v>0</v>
      </c>
      <c r="E42" s="40">
        <f>E8*0.9</f>
        <v>0</v>
      </c>
      <c r="F42" s="44"/>
      <c r="G42" s="40"/>
      <c r="H42" s="40"/>
      <c r="I42" s="40"/>
      <c r="J42" s="40"/>
      <c r="K42" s="40"/>
      <c r="L42" s="40"/>
      <c r="M42" s="40"/>
      <c r="N42" s="40"/>
      <c r="O42" s="40"/>
      <c r="P42" s="40"/>
    </row>
    <row r="43" spans="1:21" x14ac:dyDescent="0.25">
      <c r="A43" s="36"/>
      <c r="B43" s="63" t="s">
        <v>81</v>
      </c>
      <c r="C43" s="37" t="s">
        <v>34</v>
      </c>
      <c r="D43" s="40">
        <f>D9</f>
        <v>1</v>
      </c>
      <c r="E43" s="40">
        <f>E9*0.9</f>
        <v>360000</v>
      </c>
      <c r="F43" s="40">
        <f>D43*E43</f>
        <v>360000</v>
      </c>
      <c r="G43" s="40">
        <f>D43*E43</f>
        <v>360000</v>
      </c>
      <c r="H43" s="40">
        <v>0</v>
      </c>
      <c r="I43" s="40">
        <v>0</v>
      </c>
      <c r="J43" s="40">
        <v>0</v>
      </c>
      <c r="K43" s="40"/>
      <c r="L43" s="40"/>
      <c r="M43" s="40"/>
      <c r="N43" s="40"/>
      <c r="O43" s="40"/>
      <c r="P43" s="40">
        <f>K43</f>
        <v>0</v>
      </c>
    </row>
    <row r="44" spans="1:21" x14ac:dyDescent="0.25">
      <c r="A44" s="36"/>
      <c r="B44" s="63"/>
      <c r="C44" s="37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</row>
    <row r="45" spans="1:21" x14ac:dyDescent="0.25">
      <c r="A45" s="36"/>
      <c r="B45" s="38" t="s">
        <v>37</v>
      </c>
      <c r="C45" s="37"/>
      <c r="D45" s="40">
        <f>D10</f>
        <v>0</v>
      </c>
      <c r="E45" s="40">
        <f>E10*0.9</f>
        <v>0</v>
      </c>
      <c r="F45" s="39">
        <f t="shared" ref="F45:K45" si="18">SUM(F43:F44)</f>
        <v>360000</v>
      </c>
      <c r="G45" s="39">
        <f t="shared" si="18"/>
        <v>360000</v>
      </c>
      <c r="H45" s="39">
        <f t="shared" si="18"/>
        <v>0</v>
      </c>
      <c r="I45" s="39">
        <f t="shared" si="18"/>
        <v>0</v>
      </c>
      <c r="J45" s="39">
        <f t="shared" si="18"/>
        <v>0</v>
      </c>
      <c r="K45" s="39">
        <f t="shared" si="18"/>
        <v>0</v>
      </c>
      <c r="L45" s="39">
        <f t="shared" ref="L45:U45" si="19">SUM(L43:L44)</f>
        <v>0</v>
      </c>
      <c r="M45" s="39">
        <f t="shared" si="19"/>
        <v>0</v>
      </c>
      <c r="N45" s="39">
        <f t="shared" si="19"/>
        <v>0</v>
      </c>
      <c r="O45" s="39">
        <f t="shared" si="19"/>
        <v>0</v>
      </c>
      <c r="P45" s="39">
        <f t="shared" si="19"/>
        <v>0</v>
      </c>
      <c r="Q45" s="39">
        <f t="shared" si="19"/>
        <v>0</v>
      </c>
      <c r="R45" s="39">
        <f t="shared" si="19"/>
        <v>0</v>
      </c>
      <c r="S45" s="39">
        <f t="shared" si="19"/>
        <v>0</v>
      </c>
      <c r="T45" s="39">
        <f t="shared" si="19"/>
        <v>0</v>
      </c>
      <c r="U45" s="39">
        <f t="shared" si="19"/>
        <v>0</v>
      </c>
    </row>
    <row r="46" spans="1:21" x14ac:dyDescent="0.25">
      <c r="A46" s="36"/>
      <c r="B46" s="37"/>
      <c r="C46" s="37"/>
      <c r="D46" s="40">
        <f>D11</f>
        <v>0</v>
      </c>
      <c r="E46" s="40">
        <f>E11*0.9</f>
        <v>0</v>
      </c>
      <c r="F46" s="40">
        <f t="shared" ref="F46:F47" si="20">D46*E46</f>
        <v>0</v>
      </c>
      <c r="G46" s="40"/>
      <c r="H46" s="40"/>
      <c r="I46" s="40"/>
      <c r="J46" s="40"/>
      <c r="K46" s="40"/>
      <c r="L46" s="40"/>
      <c r="M46" s="40"/>
      <c r="N46" s="40"/>
      <c r="O46" s="40"/>
      <c r="P46" s="40"/>
    </row>
    <row r="47" spans="1:21" x14ac:dyDescent="0.25">
      <c r="A47" s="36"/>
      <c r="B47" s="38" t="s">
        <v>38</v>
      </c>
      <c r="C47" s="37"/>
      <c r="D47" s="40">
        <f>D12</f>
        <v>0</v>
      </c>
      <c r="E47" s="40">
        <f>E12*0.9</f>
        <v>0</v>
      </c>
      <c r="F47" s="40">
        <f t="shared" si="20"/>
        <v>0</v>
      </c>
      <c r="G47" s="40"/>
      <c r="H47" s="40"/>
      <c r="I47" s="40"/>
      <c r="J47" s="40"/>
      <c r="K47" s="40"/>
      <c r="L47" s="40"/>
      <c r="M47" s="40"/>
      <c r="N47" s="40"/>
      <c r="O47" s="40"/>
      <c r="P47" s="40"/>
    </row>
    <row r="48" spans="1:21" x14ac:dyDescent="0.25">
      <c r="A48" s="36"/>
      <c r="B48" s="64" t="s">
        <v>82</v>
      </c>
      <c r="C48" s="37" t="s">
        <v>40</v>
      </c>
      <c r="D48" s="40"/>
      <c r="E48" s="40"/>
      <c r="F48" s="40">
        <f>F13*0.9</f>
        <v>13500</v>
      </c>
      <c r="G48" s="40">
        <f t="shared" ref="G48:U53" si="21">F48</f>
        <v>13500</v>
      </c>
      <c r="H48" s="40">
        <f t="shared" si="21"/>
        <v>13500</v>
      </c>
      <c r="I48" s="40">
        <f t="shared" si="21"/>
        <v>13500</v>
      </c>
      <c r="J48" s="40">
        <f t="shared" si="21"/>
        <v>13500</v>
      </c>
      <c r="K48" s="40">
        <f t="shared" si="21"/>
        <v>13500</v>
      </c>
      <c r="L48" s="40">
        <f t="shared" si="21"/>
        <v>13500</v>
      </c>
      <c r="M48" s="40">
        <f t="shared" si="21"/>
        <v>13500</v>
      </c>
      <c r="N48" s="40">
        <f t="shared" si="21"/>
        <v>13500</v>
      </c>
      <c r="O48" s="40">
        <f t="shared" si="21"/>
        <v>13500</v>
      </c>
      <c r="P48" s="40">
        <f t="shared" si="21"/>
        <v>13500</v>
      </c>
      <c r="Q48" s="40">
        <f t="shared" si="21"/>
        <v>13500</v>
      </c>
      <c r="R48" s="40">
        <f t="shared" si="21"/>
        <v>13500</v>
      </c>
      <c r="S48" s="40">
        <f t="shared" si="21"/>
        <v>13500</v>
      </c>
      <c r="T48" s="40">
        <f t="shared" si="21"/>
        <v>13500</v>
      </c>
      <c r="U48" s="40">
        <f t="shared" si="21"/>
        <v>13500</v>
      </c>
    </row>
    <row r="49" spans="1:22" x14ac:dyDescent="0.25">
      <c r="A49" s="36"/>
      <c r="B49" s="65" t="s">
        <v>7</v>
      </c>
      <c r="C49" s="37" t="s">
        <v>40</v>
      </c>
      <c r="D49" s="40"/>
      <c r="E49" s="40"/>
      <c r="F49" s="40">
        <f>F14*0.9</f>
        <v>13500</v>
      </c>
      <c r="G49" s="40">
        <f t="shared" si="21"/>
        <v>13500</v>
      </c>
      <c r="H49" s="40">
        <f t="shared" si="21"/>
        <v>13500</v>
      </c>
      <c r="I49" s="40">
        <f t="shared" si="21"/>
        <v>13500</v>
      </c>
      <c r="J49" s="40">
        <f t="shared" si="21"/>
        <v>13500</v>
      </c>
      <c r="K49" s="40">
        <f t="shared" si="21"/>
        <v>13500</v>
      </c>
      <c r="L49" s="40">
        <f t="shared" si="21"/>
        <v>13500</v>
      </c>
      <c r="M49" s="40">
        <f t="shared" si="21"/>
        <v>13500</v>
      </c>
      <c r="N49" s="40">
        <f t="shared" si="21"/>
        <v>13500</v>
      </c>
      <c r="O49" s="40">
        <f t="shared" si="21"/>
        <v>13500</v>
      </c>
      <c r="P49" s="40">
        <f t="shared" si="21"/>
        <v>13500</v>
      </c>
      <c r="Q49" s="40">
        <f t="shared" si="21"/>
        <v>13500</v>
      </c>
      <c r="R49" s="40">
        <f t="shared" si="21"/>
        <v>13500</v>
      </c>
      <c r="S49" s="40">
        <f t="shared" si="21"/>
        <v>13500</v>
      </c>
      <c r="T49" s="40">
        <f t="shared" si="21"/>
        <v>13500</v>
      </c>
      <c r="U49" s="40">
        <f t="shared" si="21"/>
        <v>13500</v>
      </c>
      <c r="V49" s="46"/>
    </row>
    <row r="50" spans="1:22" x14ac:dyDescent="0.25">
      <c r="A50" s="36"/>
      <c r="B50" s="45" t="s">
        <v>41</v>
      </c>
      <c r="C50" s="37" t="s">
        <v>40</v>
      </c>
      <c r="D50" s="40"/>
      <c r="E50" s="40"/>
      <c r="F50" s="40">
        <f>F15*0.9</f>
        <v>9000</v>
      </c>
      <c r="G50" s="40">
        <f>F50</f>
        <v>9000</v>
      </c>
      <c r="H50" s="40">
        <f>F50</f>
        <v>9000</v>
      </c>
      <c r="I50" s="40">
        <f t="shared" si="21"/>
        <v>9000</v>
      </c>
      <c r="J50" s="40">
        <f t="shared" si="21"/>
        <v>9000</v>
      </c>
      <c r="K50" s="40">
        <f t="shared" si="21"/>
        <v>9000</v>
      </c>
      <c r="L50" s="40">
        <f t="shared" si="21"/>
        <v>9000</v>
      </c>
      <c r="M50" s="40">
        <f t="shared" si="21"/>
        <v>9000</v>
      </c>
      <c r="N50" s="40">
        <f t="shared" si="21"/>
        <v>9000</v>
      </c>
      <c r="O50" s="40">
        <f t="shared" si="21"/>
        <v>9000</v>
      </c>
      <c r="P50" s="40">
        <f t="shared" si="21"/>
        <v>9000</v>
      </c>
      <c r="Q50" s="40">
        <f t="shared" si="21"/>
        <v>9000</v>
      </c>
      <c r="R50" s="40">
        <f t="shared" si="21"/>
        <v>9000</v>
      </c>
      <c r="S50" s="40">
        <f t="shared" si="21"/>
        <v>9000</v>
      </c>
      <c r="T50" s="40">
        <f t="shared" si="21"/>
        <v>9000</v>
      </c>
      <c r="U50" s="40">
        <f t="shared" si="21"/>
        <v>9000</v>
      </c>
      <c r="V50" s="46"/>
    </row>
    <row r="51" spans="1:22" x14ac:dyDescent="0.25">
      <c r="A51" s="36"/>
      <c r="B51" s="45" t="s">
        <v>83</v>
      </c>
      <c r="C51" s="37" t="s">
        <v>40</v>
      </c>
      <c r="D51" s="40"/>
      <c r="E51" s="40"/>
      <c r="F51" s="40">
        <f>F16*0.9</f>
        <v>50400</v>
      </c>
      <c r="G51" s="40">
        <f>F51</f>
        <v>50400</v>
      </c>
      <c r="H51" s="40">
        <f>F51</f>
        <v>50400</v>
      </c>
      <c r="I51" s="40">
        <f>F51</f>
        <v>50400</v>
      </c>
      <c r="J51" s="40">
        <f>F51</f>
        <v>50400</v>
      </c>
      <c r="K51" s="40">
        <f>J51</f>
        <v>50400</v>
      </c>
      <c r="L51" s="40">
        <f t="shared" si="21"/>
        <v>50400</v>
      </c>
      <c r="M51" s="40">
        <f t="shared" si="21"/>
        <v>50400</v>
      </c>
      <c r="N51" s="40">
        <f t="shared" si="21"/>
        <v>50400</v>
      </c>
      <c r="O51" s="40">
        <f t="shared" si="21"/>
        <v>50400</v>
      </c>
      <c r="P51" s="40">
        <f t="shared" si="21"/>
        <v>50400</v>
      </c>
      <c r="Q51" s="40">
        <f t="shared" si="21"/>
        <v>50400</v>
      </c>
      <c r="R51" s="40">
        <f t="shared" si="21"/>
        <v>50400</v>
      </c>
      <c r="S51" s="40">
        <f t="shared" si="21"/>
        <v>50400</v>
      </c>
      <c r="T51" s="40">
        <f t="shared" si="21"/>
        <v>50400</v>
      </c>
      <c r="U51" s="40">
        <f t="shared" si="21"/>
        <v>50400</v>
      </c>
    </row>
    <row r="52" spans="1:22" x14ac:dyDescent="0.25">
      <c r="A52" s="36"/>
      <c r="B52" s="45"/>
      <c r="C52" s="37"/>
      <c r="D52" s="40"/>
      <c r="E52" s="40"/>
      <c r="F52" s="40"/>
      <c r="G52" s="40">
        <f>F52</f>
        <v>0</v>
      </c>
      <c r="H52" s="40">
        <f t="shared" ref="H52:H53" si="22">F52</f>
        <v>0</v>
      </c>
      <c r="I52" s="40">
        <f t="shared" ref="I52:I53" si="23">F52</f>
        <v>0</v>
      </c>
      <c r="J52" s="40">
        <f t="shared" ref="J52:J53" si="24">F52</f>
        <v>0</v>
      </c>
      <c r="K52" s="40">
        <f>J52</f>
        <v>0</v>
      </c>
      <c r="L52" s="40">
        <f t="shared" si="21"/>
        <v>0</v>
      </c>
      <c r="M52" s="40">
        <f t="shared" si="21"/>
        <v>0</v>
      </c>
      <c r="N52" s="40">
        <f t="shared" si="21"/>
        <v>0</v>
      </c>
      <c r="O52" s="40">
        <f t="shared" si="21"/>
        <v>0</v>
      </c>
      <c r="P52" s="40">
        <f t="shared" si="21"/>
        <v>0</v>
      </c>
      <c r="Q52" s="40">
        <f t="shared" si="21"/>
        <v>0</v>
      </c>
      <c r="R52" s="40">
        <f t="shared" si="21"/>
        <v>0</v>
      </c>
      <c r="S52" s="40">
        <f t="shared" si="21"/>
        <v>0</v>
      </c>
      <c r="T52" s="40">
        <f t="shared" si="21"/>
        <v>0</v>
      </c>
      <c r="U52" s="40">
        <f t="shared" si="21"/>
        <v>0</v>
      </c>
    </row>
    <row r="53" spans="1:22" x14ac:dyDescent="0.25">
      <c r="A53" s="36"/>
      <c r="B53" s="45" t="s">
        <v>84</v>
      </c>
      <c r="C53" s="37" t="s">
        <v>40</v>
      </c>
      <c r="D53" s="40"/>
      <c r="E53" s="40"/>
      <c r="F53" s="40">
        <f>F18*0.9</f>
        <v>8010</v>
      </c>
      <c r="G53" s="40">
        <f>F53</f>
        <v>8010</v>
      </c>
      <c r="H53" s="40">
        <f t="shared" si="22"/>
        <v>8010</v>
      </c>
      <c r="I53" s="40">
        <f t="shared" si="23"/>
        <v>8010</v>
      </c>
      <c r="J53" s="40">
        <f t="shared" si="24"/>
        <v>8010</v>
      </c>
      <c r="K53" s="40">
        <f>J53</f>
        <v>8010</v>
      </c>
      <c r="L53" s="40">
        <f t="shared" si="21"/>
        <v>8010</v>
      </c>
      <c r="M53" s="40">
        <f t="shared" si="21"/>
        <v>8010</v>
      </c>
      <c r="N53" s="40">
        <f t="shared" si="21"/>
        <v>8010</v>
      </c>
      <c r="O53" s="40">
        <f t="shared" si="21"/>
        <v>8010</v>
      </c>
      <c r="P53" s="40">
        <f t="shared" si="21"/>
        <v>8010</v>
      </c>
      <c r="Q53" s="40">
        <f t="shared" si="21"/>
        <v>8010</v>
      </c>
      <c r="R53" s="40">
        <f t="shared" si="21"/>
        <v>8010</v>
      </c>
      <c r="S53" s="40">
        <f t="shared" si="21"/>
        <v>8010</v>
      </c>
      <c r="T53" s="40">
        <f t="shared" si="21"/>
        <v>8010</v>
      </c>
      <c r="U53" s="40">
        <f t="shared" si="21"/>
        <v>8010</v>
      </c>
    </row>
    <row r="54" spans="1:22" x14ac:dyDescent="0.25">
      <c r="A54" s="36"/>
      <c r="B54" s="38" t="s">
        <v>44</v>
      </c>
      <c r="C54" s="37"/>
      <c r="D54" s="40">
        <f>D20</f>
        <v>0</v>
      </c>
      <c r="E54" s="40"/>
      <c r="F54" s="39">
        <f>SUM(F48:F53)</f>
        <v>94410</v>
      </c>
      <c r="G54" s="39">
        <f t="shared" ref="G54:U54" si="25">SUM(G48:G53)</f>
        <v>94410</v>
      </c>
      <c r="H54" s="39">
        <f t="shared" si="25"/>
        <v>94410</v>
      </c>
      <c r="I54" s="39">
        <f t="shared" si="25"/>
        <v>94410</v>
      </c>
      <c r="J54" s="39">
        <f t="shared" si="25"/>
        <v>94410</v>
      </c>
      <c r="K54" s="39">
        <f t="shared" si="25"/>
        <v>94410</v>
      </c>
      <c r="L54" s="39">
        <f t="shared" si="25"/>
        <v>94410</v>
      </c>
      <c r="M54" s="39">
        <f t="shared" si="25"/>
        <v>94410</v>
      </c>
      <c r="N54" s="39">
        <f t="shared" si="25"/>
        <v>94410</v>
      </c>
      <c r="O54" s="39">
        <f t="shared" si="25"/>
        <v>94410</v>
      </c>
      <c r="P54" s="39">
        <f t="shared" si="25"/>
        <v>94410</v>
      </c>
      <c r="Q54" s="39">
        <f t="shared" si="25"/>
        <v>94410</v>
      </c>
      <c r="R54" s="39">
        <f t="shared" si="25"/>
        <v>94410</v>
      </c>
      <c r="S54" s="39">
        <f t="shared" si="25"/>
        <v>94410</v>
      </c>
      <c r="T54" s="39">
        <f t="shared" si="25"/>
        <v>94410</v>
      </c>
      <c r="U54" s="39">
        <f t="shared" si="25"/>
        <v>94410</v>
      </c>
    </row>
    <row r="55" spans="1:22" x14ac:dyDescent="0.25">
      <c r="A55" s="36"/>
      <c r="B55" s="47"/>
      <c r="C55" s="37"/>
      <c r="D55" s="40">
        <f>D21</f>
        <v>0</v>
      </c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</row>
    <row r="56" spans="1:22" x14ac:dyDescent="0.25">
      <c r="A56" s="36"/>
      <c r="B56" s="38" t="s">
        <v>45</v>
      </c>
      <c r="C56" s="37"/>
      <c r="D56" s="40">
        <f>D22</f>
        <v>0</v>
      </c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</row>
    <row r="57" spans="1:22" x14ac:dyDescent="0.25">
      <c r="A57" s="36"/>
      <c r="B57" s="37" t="s">
        <v>46</v>
      </c>
      <c r="C57" s="37" t="s">
        <v>47</v>
      </c>
      <c r="D57" s="40">
        <f>D23</f>
        <v>1</v>
      </c>
      <c r="E57" s="40"/>
      <c r="F57" s="40">
        <f>D57*E57</f>
        <v>0</v>
      </c>
      <c r="G57" s="40">
        <v>0</v>
      </c>
      <c r="H57" s="40">
        <f>D57*E57</f>
        <v>0</v>
      </c>
      <c r="I57" s="40">
        <f t="shared" ref="I57:U57" si="26">H57</f>
        <v>0</v>
      </c>
      <c r="J57" s="40">
        <f t="shared" si="26"/>
        <v>0</v>
      </c>
      <c r="K57" s="40">
        <f t="shared" si="26"/>
        <v>0</v>
      </c>
      <c r="L57" s="40">
        <f t="shared" si="26"/>
        <v>0</v>
      </c>
      <c r="M57" s="40">
        <f t="shared" si="26"/>
        <v>0</v>
      </c>
      <c r="N57" s="40">
        <f t="shared" si="26"/>
        <v>0</v>
      </c>
      <c r="O57" s="40">
        <f t="shared" si="26"/>
        <v>0</v>
      </c>
      <c r="P57" s="40">
        <f t="shared" si="26"/>
        <v>0</v>
      </c>
      <c r="Q57" s="40">
        <f t="shared" si="26"/>
        <v>0</v>
      </c>
      <c r="R57" s="40">
        <f t="shared" si="26"/>
        <v>0</v>
      </c>
      <c r="S57" s="40">
        <f t="shared" si="26"/>
        <v>0</v>
      </c>
      <c r="T57" s="40">
        <f t="shared" si="26"/>
        <v>0</v>
      </c>
      <c r="U57" s="40">
        <f t="shared" si="26"/>
        <v>0</v>
      </c>
      <c r="V57" s="48">
        <f>SUM(H57:U57)</f>
        <v>0</v>
      </c>
    </row>
    <row r="58" spans="1:22" x14ac:dyDescent="0.25">
      <c r="A58" s="36"/>
      <c r="B58" s="38" t="s">
        <v>48</v>
      </c>
      <c r="C58" s="37"/>
      <c r="D58" s="40"/>
      <c r="E58" s="40"/>
      <c r="F58" s="39">
        <f t="shared" ref="F58:U58" si="27">SUM(F57:F57)</f>
        <v>0</v>
      </c>
      <c r="G58" s="39">
        <f t="shared" si="27"/>
        <v>0</v>
      </c>
      <c r="H58" s="39">
        <f t="shared" si="27"/>
        <v>0</v>
      </c>
      <c r="I58" s="39">
        <f t="shared" si="27"/>
        <v>0</v>
      </c>
      <c r="J58" s="39">
        <f t="shared" si="27"/>
        <v>0</v>
      </c>
      <c r="K58" s="39">
        <f t="shared" si="27"/>
        <v>0</v>
      </c>
      <c r="L58" s="39">
        <f t="shared" si="27"/>
        <v>0</v>
      </c>
      <c r="M58" s="39">
        <f t="shared" si="27"/>
        <v>0</v>
      </c>
      <c r="N58" s="39">
        <f t="shared" si="27"/>
        <v>0</v>
      </c>
      <c r="O58" s="39">
        <f t="shared" si="27"/>
        <v>0</v>
      </c>
      <c r="P58" s="39">
        <f t="shared" si="27"/>
        <v>0</v>
      </c>
      <c r="Q58" s="39">
        <f t="shared" si="27"/>
        <v>0</v>
      </c>
      <c r="R58" s="39">
        <f t="shared" si="27"/>
        <v>0</v>
      </c>
      <c r="S58" s="39">
        <f t="shared" si="27"/>
        <v>0</v>
      </c>
      <c r="T58" s="39">
        <f t="shared" si="27"/>
        <v>0</v>
      </c>
      <c r="U58" s="39">
        <f t="shared" si="27"/>
        <v>0</v>
      </c>
    </row>
    <row r="59" spans="1:22" x14ac:dyDescent="0.25">
      <c r="A59" s="36"/>
      <c r="B59" s="38" t="s">
        <v>49</v>
      </c>
      <c r="C59" s="37"/>
      <c r="D59" s="40"/>
      <c r="E59" s="40"/>
      <c r="F59" s="39">
        <f t="shared" ref="F59:U59" si="28">F45+F54+F58</f>
        <v>454410</v>
      </c>
      <c r="G59" s="39">
        <f t="shared" si="28"/>
        <v>454410</v>
      </c>
      <c r="H59" s="39">
        <f t="shared" si="28"/>
        <v>94410</v>
      </c>
      <c r="I59" s="39">
        <f t="shared" si="28"/>
        <v>94410</v>
      </c>
      <c r="J59" s="39">
        <f t="shared" si="28"/>
        <v>94410</v>
      </c>
      <c r="K59" s="39">
        <f t="shared" si="28"/>
        <v>94410</v>
      </c>
      <c r="L59" s="39">
        <f t="shared" si="28"/>
        <v>94410</v>
      </c>
      <c r="M59" s="39">
        <f t="shared" si="28"/>
        <v>94410</v>
      </c>
      <c r="N59" s="39">
        <f t="shared" si="28"/>
        <v>94410</v>
      </c>
      <c r="O59" s="39">
        <f t="shared" si="28"/>
        <v>94410</v>
      </c>
      <c r="P59" s="39">
        <f t="shared" si="28"/>
        <v>94410</v>
      </c>
      <c r="Q59" s="39">
        <f t="shared" si="28"/>
        <v>94410</v>
      </c>
      <c r="R59" s="39">
        <f t="shared" si="28"/>
        <v>94410</v>
      </c>
      <c r="S59" s="39">
        <f t="shared" si="28"/>
        <v>94410</v>
      </c>
      <c r="T59" s="39">
        <f t="shared" si="28"/>
        <v>94410</v>
      </c>
      <c r="U59" s="39">
        <f t="shared" si="28"/>
        <v>94410</v>
      </c>
    </row>
    <row r="60" spans="1:22" x14ac:dyDescent="0.25">
      <c r="A60" s="36"/>
      <c r="B60" s="38"/>
      <c r="C60" s="37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</row>
    <row r="61" spans="1:22" x14ac:dyDescent="0.25">
      <c r="A61" s="36"/>
      <c r="B61" s="38" t="s">
        <v>50</v>
      </c>
      <c r="C61" s="37" t="s">
        <v>47</v>
      </c>
      <c r="D61" s="40"/>
      <c r="E61" s="40"/>
      <c r="F61" s="40"/>
      <c r="G61" s="39">
        <f t="shared" ref="G61:U61" si="29">G39-G45-G54</f>
        <v>-280410</v>
      </c>
      <c r="H61" s="39">
        <f t="shared" si="29"/>
        <v>79590</v>
      </c>
      <c r="I61" s="39">
        <f t="shared" si="29"/>
        <v>79590</v>
      </c>
      <c r="J61" s="39">
        <f t="shared" si="29"/>
        <v>79590</v>
      </c>
      <c r="K61" s="39">
        <f t="shared" si="29"/>
        <v>79590</v>
      </c>
      <c r="L61" s="39">
        <f t="shared" si="29"/>
        <v>79590</v>
      </c>
      <c r="M61" s="39">
        <f t="shared" si="29"/>
        <v>79590</v>
      </c>
      <c r="N61" s="39">
        <f t="shared" si="29"/>
        <v>79590</v>
      </c>
      <c r="O61" s="39">
        <f t="shared" si="29"/>
        <v>79590</v>
      </c>
      <c r="P61" s="39">
        <f t="shared" si="29"/>
        <v>79590</v>
      </c>
      <c r="Q61" s="39">
        <f t="shared" si="29"/>
        <v>79590</v>
      </c>
      <c r="R61" s="39">
        <f t="shared" si="29"/>
        <v>79590</v>
      </c>
      <c r="S61" s="39">
        <f t="shared" si="29"/>
        <v>79590</v>
      </c>
      <c r="T61" s="39">
        <f t="shared" si="29"/>
        <v>79590</v>
      </c>
      <c r="U61" s="39">
        <f t="shared" si="29"/>
        <v>79590</v>
      </c>
    </row>
    <row r="62" spans="1:22" x14ac:dyDescent="0.25">
      <c r="A62" s="36"/>
      <c r="B62" s="38" t="s">
        <v>51</v>
      </c>
      <c r="C62" s="37" t="s">
        <v>47</v>
      </c>
      <c r="D62" s="40"/>
      <c r="E62" s="40"/>
      <c r="F62" s="40"/>
      <c r="G62" s="39">
        <f>G61-G58</f>
        <v>-280410</v>
      </c>
      <c r="H62" s="39">
        <f>-(H61-H58)</f>
        <v>-79590</v>
      </c>
      <c r="I62" s="39">
        <f>I61-I58</f>
        <v>79590</v>
      </c>
      <c r="J62" s="39">
        <f>J61-J58</f>
        <v>79590</v>
      </c>
      <c r="K62" s="39">
        <f>K61-K58</f>
        <v>79590</v>
      </c>
      <c r="L62" s="39">
        <f t="shared" ref="L62:U62" si="30">L61-L58</f>
        <v>79590</v>
      </c>
      <c r="M62" s="39">
        <f t="shared" si="30"/>
        <v>79590</v>
      </c>
      <c r="N62" s="39">
        <f t="shared" si="30"/>
        <v>79590</v>
      </c>
      <c r="O62" s="39">
        <f t="shared" si="30"/>
        <v>79590</v>
      </c>
      <c r="P62" s="39">
        <f t="shared" si="30"/>
        <v>79590</v>
      </c>
      <c r="Q62" s="39">
        <f t="shared" si="30"/>
        <v>79590</v>
      </c>
      <c r="R62" s="39">
        <f t="shared" si="30"/>
        <v>79590</v>
      </c>
      <c r="S62" s="39">
        <f t="shared" si="30"/>
        <v>79590</v>
      </c>
      <c r="T62" s="39">
        <f t="shared" si="30"/>
        <v>79590</v>
      </c>
      <c r="U62" s="39">
        <f t="shared" si="30"/>
        <v>79590</v>
      </c>
    </row>
    <row r="63" spans="1:22" x14ac:dyDescent="0.25">
      <c r="A63" s="1"/>
      <c r="B63" s="140" t="s">
        <v>58</v>
      </c>
      <c r="C63" s="141"/>
      <c r="D63" s="141"/>
      <c r="E63" s="141"/>
      <c r="F63" s="142"/>
      <c r="G63" s="53">
        <f>IRR(G62:U62)</f>
        <v>0.16984724393957684</v>
      </c>
      <c r="H63" s="54"/>
      <c r="I63" s="54"/>
      <c r="J63" s="54"/>
      <c r="K63" s="54"/>
      <c r="L63" s="54"/>
      <c r="M63" s="54"/>
      <c r="N63" s="54"/>
      <c r="O63" s="54"/>
      <c r="P63" s="54"/>
    </row>
    <row r="64" spans="1:22" x14ac:dyDescent="0.25">
      <c r="A64" s="1"/>
      <c r="B64" s="140" t="s">
        <v>59</v>
      </c>
      <c r="C64" s="141"/>
      <c r="D64" s="141"/>
      <c r="E64" s="141"/>
      <c r="F64" s="142"/>
      <c r="G64" s="55">
        <f>NPV(0.1,G62:U62)</f>
        <v>146541.4216260906</v>
      </c>
      <c r="H64" s="54"/>
      <c r="I64" s="54"/>
      <c r="J64" s="54"/>
      <c r="K64" s="54"/>
      <c r="L64" s="54"/>
      <c r="M64" s="54"/>
      <c r="N64" s="54"/>
      <c r="O64" s="54"/>
      <c r="P64" s="54"/>
    </row>
  </sheetData>
  <mergeCells count="8">
    <mergeCell ref="B64:F64"/>
    <mergeCell ref="B34:P34"/>
    <mergeCell ref="G35:P35"/>
    <mergeCell ref="B63:F63"/>
    <mergeCell ref="B1:P1"/>
    <mergeCell ref="G2:P2"/>
    <mergeCell ref="B30:F30"/>
    <mergeCell ref="B31:F3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80983-1184-4488-8E83-67F2226922C9}">
  <dimension ref="A1:W54"/>
  <sheetViews>
    <sheetView workbookViewId="0">
      <selection activeCell="G38" sqref="G38"/>
    </sheetView>
  </sheetViews>
  <sheetFormatPr defaultRowHeight="15" x14ac:dyDescent="0.25"/>
  <cols>
    <col min="2" max="2" width="23" customWidth="1"/>
    <col min="3" max="3" width="18.28515625" bestFit="1" customWidth="1"/>
    <col min="4" max="4" width="16.85546875" bestFit="1" customWidth="1"/>
    <col min="5" max="5" width="14.28515625" customWidth="1"/>
    <col min="6" max="6" width="15.140625" customWidth="1"/>
    <col min="7" max="7" width="14.42578125" customWidth="1"/>
    <col min="8" max="8" width="15.28515625" customWidth="1"/>
    <col min="9" max="9" width="13.5703125" customWidth="1"/>
    <col min="10" max="10" width="14.85546875" customWidth="1"/>
    <col min="11" max="11" width="15.140625" customWidth="1"/>
    <col min="12" max="13" width="13" customWidth="1"/>
    <col min="14" max="14" width="12.7109375" customWidth="1"/>
    <col min="15" max="15" width="13.5703125" customWidth="1"/>
    <col min="16" max="16" width="12.42578125" customWidth="1"/>
    <col min="17" max="17" width="12.140625" customWidth="1"/>
    <col min="22" max="22" width="12.7109375" bestFit="1" customWidth="1"/>
  </cols>
  <sheetData>
    <row r="1" spans="1:23" ht="15.75" thickBot="1" x14ac:dyDescent="0.3">
      <c r="A1" t="s">
        <v>134</v>
      </c>
    </row>
    <row r="2" spans="1:23" ht="15.75" thickBot="1" x14ac:dyDescent="0.3">
      <c r="A2" t="s">
        <v>135</v>
      </c>
      <c r="B2" s="66" t="s">
        <v>116</v>
      </c>
      <c r="C2" s="67" t="s">
        <v>117</v>
      </c>
      <c r="D2" s="67" t="s">
        <v>118</v>
      </c>
      <c r="E2" s="67" t="s">
        <v>119</v>
      </c>
      <c r="F2" s="67" t="s">
        <v>120</v>
      </c>
      <c r="G2" s="68" t="s">
        <v>121</v>
      </c>
      <c r="H2" s="67" t="s">
        <v>122</v>
      </c>
      <c r="I2" s="67" t="s">
        <v>123</v>
      </c>
      <c r="J2" s="67" t="s">
        <v>124</v>
      </c>
      <c r="K2" s="68" t="s">
        <v>125</v>
      </c>
      <c r="L2" s="67" t="s">
        <v>126</v>
      </c>
      <c r="M2" s="67" t="s">
        <v>127</v>
      </c>
      <c r="N2" s="67" t="s">
        <v>128</v>
      </c>
      <c r="O2" s="68" t="s">
        <v>129</v>
      </c>
      <c r="P2" s="67" t="s">
        <v>130</v>
      </c>
      <c r="Q2" s="68" t="s">
        <v>131</v>
      </c>
    </row>
    <row r="3" spans="1:23" x14ac:dyDescent="0.25">
      <c r="B3" t="s">
        <v>3</v>
      </c>
      <c r="C3" s="69">
        <f>'Cool   Reflective Roof Coating'!G29</f>
        <v>-1954166.6666666667</v>
      </c>
      <c r="D3" s="69">
        <f>'Cool   Reflective Roof Coating'!H29</f>
        <v>-895833.33333333337</v>
      </c>
      <c r="E3" s="69">
        <f>'Cool   Reflective Roof Coating'!I29</f>
        <v>-1895833.3333333333</v>
      </c>
      <c r="F3" s="69">
        <f>'Cool   Reflective Roof Coating'!J29</f>
        <v>1895833.3333333333</v>
      </c>
      <c r="G3" s="69">
        <f>'Cool   Reflective Roof Coating'!K29</f>
        <v>1895833.3333333333</v>
      </c>
      <c r="H3" s="69">
        <f>'Cool   Reflective Roof Coating'!L29</f>
        <v>1895833.3333333333</v>
      </c>
      <c r="I3" s="69">
        <f>'Cool   Reflective Roof Coating'!M29</f>
        <v>1895833.3333333333</v>
      </c>
      <c r="J3" s="69">
        <f>'Cool   Reflective Roof Coating'!N29</f>
        <v>1895833.3333333333</v>
      </c>
      <c r="K3" s="69">
        <f>'Cool   Reflective Roof Coating'!O29</f>
        <v>1895833.3333333333</v>
      </c>
      <c r="L3" s="69">
        <f>'Cool   Reflective Roof Coating'!P29</f>
        <v>1895833.3333333333</v>
      </c>
      <c r="M3" s="69">
        <f>'Cool   Reflective Roof Coating'!Q29</f>
        <v>1895833.3333333333</v>
      </c>
      <c r="N3" s="69">
        <f>'Cool   Reflective Roof Coating'!R29</f>
        <v>1895833.3333333333</v>
      </c>
      <c r="O3" s="69">
        <f>'Cool   Reflective Roof Coating'!S29</f>
        <v>1895833.3333333333</v>
      </c>
      <c r="P3" s="69">
        <f>'Cool   Reflective Roof Coating'!T29</f>
        <v>895833.33333333337</v>
      </c>
      <c r="Q3" s="69">
        <f>'Cool   Reflective Roof Coating'!U29</f>
        <v>1895833.3333333333</v>
      </c>
    </row>
    <row r="4" spans="1:23" x14ac:dyDescent="0.25">
      <c r="B4" t="s">
        <v>140</v>
      </c>
      <c r="C4" s="48">
        <f>'Ceiling Installation + Roof Ins'!G31</f>
        <v>-3989666.6666666665</v>
      </c>
      <c r="D4" s="48">
        <f>'Ceiling Installation + Roof Ins'!H31</f>
        <v>1325333.3333333333</v>
      </c>
      <c r="E4" s="48">
        <f>'Ceiling Installation + Roof Ins'!I31</f>
        <v>1325333.3333333333</v>
      </c>
      <c r="F4" s="48">
        <f>'Ceiling Installation + Roof Ins'!J31</f>
        <v>1325333.3333333333</v>
      </c>
      <c r="G4" s="48">
        <f>'Ceiling Installation + Roof Ins'!K31</f>
        <v>1325333.3333333333</v>
      </c>
      <c r="H4" s="48">
        <f>'Ceiling Installation + Roof Ins'!L31</f>
        <v>1325333.3333333333</v>
      </c>
      <c r="I4" s="48">
        <f>'Ceiling Installation + Roof Ins'!M31</f>
        <v>1325333.3333333333</v>
      </c>
      <c r="J4" s="48">
        <f>'Ceiling Installation + Roof Ins'!N31</f>
        <v>1325333.3333333333</v>
      </c>
      <c r="K4" s="48">
        <f>'Ceiling Installation + Roof Ins'!O31</f>
        <v>1325333.3333333333</v>
      </c>
      <c r="L4" s="48">
        <f>'Ceiling Installation + Roof Ins'!P31</f>
        <v>1325333.3333333333</v>
      </c>
      <c r="M4" s="48">
        <f>'Ceiling Installation + Roof Ins'!Q31</f>
        <v>1325333.3333333333</v>
      </c>
      <c r="N4" s="48">
        <f>'Ceiling Installation + Roof Ins'!R31</f>
        <v>1325333.3333333333</v>
      </c>
      <c r="O4" s="48">
        <f>'Ceiling Installation + Roof Ins'!S31</f>
        <v>1325333.3333333333</v>
      </c>
      <c r="P4" s="48">
        <f>'Ceiling Installation + Roof Ins'!T31</f>
        <v>1325333.3333333333</v>
      </c>
      <c r="Q4" s="48">
        <f>'Ceiling Installation + Roof Ins'!U31</f>
        <v>1325333.3333333333</v>
      </c>
    </row>
    <row r="5" spans="1:23" x14ac:dyDescent="0.25">
      <c r="B5" t="s">
        <v>6</v>
      </c>
      <c r="C5">
        <f>'Cross Ventilation Improvements'!G28</f>
        <v>-2878000</v>
      </c>
      <c r="D5">
        <f>'Cross Ventilation Improvements'!H28</f>
        <v>-2878000</v>
      </c>
      <c r="E5">
        <f>'Cross Ventilation Improvements'!I28</f>
        <v>-2878000</v>
      </c>
      <c r="F5">
        <f>'Cross Ventilation Improvements'!J28</f>
        <v>-2878000</v>
      </c>
      <c r="G5">
        <f>'Cross Ventilation Improvements'!K28</f>
        <v>-2399420</v>
      </c>
      <c r="H5">
        <f>'Cross Ventilation Improvements'!L28</f>
        <v>-1799420</v>
      </c>
      <c r="I5">
        <f>'Cross Ventilation Improvements'!M28</f>
        <v>-1079420</v>
      </c>
      <c r="J5">
        <f>'Cross Ventilation Improvements'!N28</f>
        <v>-215420</v>
      </c>
      <c r="K5">
        <f>'Cross Ventilation Improvements'!O28</f>
        <v>821380</v>
      </c>
      <c r="L5">
        <f>'Cross Ventilation Improvements'!P28</f>
        <v>2065540</v>
      </c>
      <c r="M5">
        <f>'Cross Ventilation Improvements'!Q28</f>
        <v>3558532</v>
      </c>
      <c r="N5">
        <f>'Cross Ventilation Improvements'!R28</f>
        <v>5350122.4000000004</v>
      </c>
      <c r="O5">
        <f>'Cross Ventilation Improvements'!S28</f>
        <v>7500030.8800000008</v>
      </c>
      <c r="P5">
        <f>'Cross Ventilation Improvements'!T28</f>
        <v>10079921.056</v>
      </c>
      <c r="Q5">
        <f>'Cross Ventilation Improvements'!U28</f>
        <v>13186499.267200001</v>
      </c>
    </row>
    <row r="6" spans="1:23" x14ac:dyDescent="0.25">
      <c r="B6" t="s">
        <v>141</v>
      </c>
      <c r="C6">
        <f>'External Shading (Awnings, Over'!G30</f>
        <v>-384933.33333333331</v>
      </c>
      <c r="D6">
        <f>'External Shading (Awnings, Over'!H30</f>
        <v>-41933.333333333336</v>
      </c>
      <c r="E6" s="48">
        <f>'External Shading (Awnings, Over'!I30</f>
        <v>-41933.333333333336</v>
      </c>
      <c r="F6" s="48">
        <f>'External Shading (Awnings, Over'!J30</f>
        <v>258066.66666666666</v>
      </c>
      <c r="G6" s="48">
        <f>'External Shading (Awnings, Over'!K30</f>
        <v>258066.66666666666</v>
      </c>
      <c r="H6" s="48">
        <f>'External Shading (Awnings, Over'!L30</f>
        <v>258066.66666666666</v>
      </c>
      <c r="I6" s="48">
        <f>'External Shading (Awnings, Over'!M30</f>
        <v>258066.66666666666</v>
      </c>
      <c r="J6" s="48">
        <f>'External Shading (Awnings, Over'!N30</f>
        <v>258066.66666666666</v>
      </c>
      <c r="K6" s="48">
        <f>'External Shading (Awnings, Over'!O30</f>
        <v>258066.66666666666</v>
      </c>
      <c r="L6" s="48">
        <f>'External Shading (Awnings, Over'!P30</f>
        <v>258066.66666666666</v>
      </c>
      <c r="M6" s="48">
        <f>'External Shading (Awnings, Over'!Q30</f>
        <v>258066.66666666666</v>
      </c>
      <c r="N6" s="48">
        <f>'External Shading (Awnings, Over'!R30</f>
        <v>258066.66666666666</v>
      </c>
      <c r="O6" s="48">
        <f>'External Shading (Awnings, Over'!S30</f>
        <v>258066.66666666666</v>
      </c>
      <c r="P6" s="48">
        <f>'External Shading (Awnings, Over'!T30</f>
        <v>258066.66666666666</v>
      </c>
      <c r="Q6" s="48">
        <f>'External Shading (Awnings, Over'!U30</f>
        <v>258066.66666666666</v>
      </c>
      <c r="R6" s="48">
        <f>'External Shading (Awnings, Over'!V30</f>
        <v>0</v>
      </c>
      <c r="S6" s="48">
        <f>'External Shading (Awnings, Over'!W30</f>
        <v>0</v>
      </c>
    </row>
    <row r="7" spans="1:23" x14ac:dyDescent="0.25">
      <c r="B7" t="s">
        <v>142</v>
      </c>
      <c r="C7">
        <f>'Efficient Fans (DC or Energy-Ef'!G31</f>
        <v>-7043900</v>
      </c>
      <c r="D7">
        <f>'Efficient Fans (DC or Energy-Ef'!H31</f>
        <v>-1913900</v>
      </c>
      <c r="E7">
        <f>'Efficient Fans (DC or Energy-Ef'!I31</f>
        <v>1086100</v>
      </c>
      <c r="F7">
        <f>'Efficient Fans (DC or Energy-Ef'!J31</f>
        <v>301100</v>
      </c>
      <c r="G7">
        <f>'Efficient Fans (DC or Energy-Ef'!K31</f>
        <v>301100</v>
      </c>
      <c r="H7">
        <f>'Efficient Fans (DC or Energy-Ef'!L31</f>
        <v>291100</v>
      </c>
      <c r="I7">
        <f>'Efficient Fans (DC or Energy-Ef'!M31</f>
        <v>301100</v>
      </c>
      <c r="J7">
        <f>'Efficient Fans (DC or Energy-Ef'!N31</f>
        <v>301100</v>
      </c>
      <c r="K7">
        <f>'Efficient Fans (DC or Energy-Ef'!O31</f>
        <v>291100</v>
      </c>
      <c r="L7">
        <f>'Efficient Fans (DC or Energy-Ef'!P31</f>
        <v>301100</v>
      </c>
      <c r="M7">
        <f>'Efficient Fans (DC or Energy-Ef'!Q31</f>
        <v>301100</v>
      </c>
      <c r="N7">
        <f>'Efficient Fans (DC or Energy-Ef'!R31</f>
        <v>291100</v>
      </c>
      <c r="O7">
        <f>'Efficient Fans (DC or Energy-Ef'!S31</f>
        <v>301100</v>
      </c>
      <c r="P7">
        <f>'Efficient Fans (DC or Energy-Ef'!T31</f>
        <v>301100</v>
      </c>
      <c r="Q7">
        <f>'Efficient Fans (DC or Energy-Ef'!U31</f>
        <v>291100</v>
      </c>
    </row>
    <row r="8" spans="1:23" x14ac:dyDescent="0.25">
      <c r="B8" t="s">
        <v>5</v>
      </c>
      <c r="C8">
        <f>Honey!G30</f>
        <v>-141166.66666666666</v>
      </c>
      <c r="D8">
        <f>Honey!H30</f>
        <v>51333.333333333336</v>
      </c>
      <c r="E8">
        <f>Honey!I30</f>
        <v>51333.333333333336</v>
      </c>
      <c r="F8">
        <f>Honey!J30</f>
        <v>51333.333333333336</v>
      </c>
      <c r="G8">
        <f>Honey!K30</f>
        <v>51333.333333333336</v>
      </c>
      <c r="H8">
        <f>Honey!L30</f>
        <v>51333.333333333336</v>
      </c>
      <c r="I8">
        <f>Honey!M30</f>
        <v>51333.333333333336</v>
      </c>
      <c r="J8">
        <f>Honey!N30</f>
        <v>51333.333333333336</v>
      </c>
      <c r="K8">
        <f>Honey!O30</f>
        <v>51333.333333333336</v>
      </c>
      <c r="L8">
        <f>Honey!P30</f>
        <v>51333.333333333336</v>
      </c>
      <c r="M8">
        <f>Honey!Q30</f>
        <v>51333.333333333336</v>
      </c>
      <c r="N8">
        <f>Honey!R30</f>
        <v>51333.333333333336</v>
      </c>
      <c r="O8">
        <f>Honey!S30</f>
        <v>51333.333333333336</v>
      </c>
      <c r="P8">
        <f>Honey!T30</f>
        <v>51333.333333333336</v>
      </c>
      <c r="Q8">
        <f>Honey!U30</f>
        <v>51333.333333333336</v>
      </c>
    </row>
    <row r="9" spans="1:23" x14ac:dyDescent="0.25">
      <c r="B9" t="s">
        <v>143</v>
      </c>
      <c r="C9">
        <f>'School kitchen gardening'!G29</f>
        <v>-304900</v>
      </c>
      <c r="D9">
        <f>'School kitchen gardening'!H29</f>
        <v>58433.333333333328</v>
      </c>
      <c r="E9">
        <f>'School kitchen gardening'!I29</f>
        <v>58433.333333333328</v>
      </c>
      <c r="F9">
        <f>'School kitchen gardening'!J29</f>
        <v>68433.333333333328</v>
      </c>
      <c r="G9">
        <f>'School kitchen gardening'!K29</f>
        <v>68433.333333333328</v>
      </c>
      <c r="H9">
        <f>'School kitchen gardening'!L29</f>
        <v>58433.333333333328</v>
      </c>
      <c r="I9">
        <f>'School kitchen gardening'!M29</f>
        <v>68433.333333333328</v>
      </c>
      <c r="J9">
        <f>'School kitchen gardening'!N29</f>
        <v>68433.333333333328</v>
      </c>
      <c r="K9">
        <f>'School kitchen gardening'!O29</f>
        <v>58433.333333333328</v>
      </c>
      <c r="L9">
        <f>'School kitchen gardening'!P29</f>
        <v>68433.333333333328</v>
      </c>
      <c r="M9">
        <f>'School kitchen gardening'!Q29</f>
        <v>68433.333333333328</v>
      </c>
      <c r="N9">
        <f>'School kitchen gardening'!R29</f>
        <v>58433.333333333328</v>
      </c>
      <c r="O9">
        <f>'School kitchen gardening'!S29</f>
        <v>68433.333333333328</v>
      </c>
      <c r="P9">
        <f>'School kitchen gardening'!T29</f>
        <v>68433.333333333328</v>
      </c>
      <c r="Q9">
        <f>'School kitchen gardening'!U29</f>
        <v>58433.333333333328</v>
      </c>
    </row>
    <row r="10" spans="1:23" x14ac:dyDescent="0.25">
      <c r="B10" t="s">
        <v>132</v>
      </c>
      <c r="C10">
        <f t="shared" ref="C10:Q10" si="0">SUM(C3:C9)</f>
        <v>-16696733.333333332</v>
      </c>
      <c r="D10">
        <f t="shared" si="0"/>
        <v>-4294566.6666666679</v>
      </c>
      <c r="E10">
        <f t="shared" si="0"/>
        <v>-2294566.6666666665</v>
      </c>
      <c r="F10">
        <f t="shared" si="0"/>
        <v>1022099.9999999999</v>
      </c>
      <c r="G10">
        <f t="shared" si="0"/>
        <v>1500679.9999999998</v>
      </c>
      <c r="H10">
        <f t="shared" si="0"/>
        <v>2080679.9999999998</v>
      </c>
      <c r="I10">
        <f t="shared" si="0"/>
        <v>2820680</v>
      </c>
      <c r="J10">
        <f t="shared" si="0"/>
        <v>3684680</v>
      </c>
      <c r="K10">
        <f t="shared" si="0"/>
        <v>4701479.9999999991</v>
      </c>
      <c r="L10">
        <f t="shared" si="0"/>
        <v>5965639.9999999991</v>
      </c>
      <c r="M10">
        <f t="shared" si="0"/>
        <v>7458631.9999999991</v>
      </c>
      <c r="N10">
        <f t="shared" si="0"/>
        <v>9230222.4000000004</v>
      </c>
      <c r="O10">
        <f t="shared" si="0"/>
        <v>11400130.880000001</v>
      </c>
      <c r="P10">
        <f t="shared" si="0"/>
        <v>12980021.056</v>
      </c>
      <c r="Q10">
        <f t="shared" si="0"/>
        <v>17066599.267199997</v>
      </c>
    </row>
    <row r="11" spans="1:23" x14ac:dyDescent="0.25">
      <c r="B11" t="s">
        <v>136</v>
      </c>
      <c r="C11">
        <f>Summary!B11</f>
        <v>28836176.666666672</v>
      </c>
      <c r="T11" t="s">
        <v>136</v>
      </c>
      <c r="V11">
        <v>11</v>
      </c>
      <c r="W11" t="s">
        <v>137</v>
      </c>
    </row>
    <row r="12" spans="1:23" x14ac:dyDescent="0.25">
      <c r="B12" t="s">
        <v>138</v>
      </c>
      <c r="C12" s="13">
        <f>V13</f>
        <v>2299000000</v>
      </c>
      <c r="U12" t="s">
        <v>133</v>
      </c>
      <c r="V12">
        <f>11000000</f>
        <v>11000000</v>
      </c>
    </row>
    <row r="13" spans="1:23" x14ac:dyDescent="0.25">
      <c r="B13" t="s">
        <v>157</v>
      </c>
      <c r="C13">
        <f>C10*($C$12/$C$11)</f>
        <v>-1331167802.758872</v>
      </c>
      <c r="D13">
        <f>-(D10*($C$12/$C$11))</f>
        <v>342389661.45881802</v>
      </c>
      <c r="E13" s="18">
        <f>-(E10*($C$12/$C$11))</f>
        <v>182937177.40897915</v>
      </c>
      <c r="F13" s="18">
        <f>-(F10*($C$12/$C$11))</f>
        <v>-81488191.97367008</v>
      </c>
      <c r="G13">
        <f t="shared" ref="G13:Q13" si="1">G10*($C$12/$C$11)</f>
        <v>119643576.88195598</v>
      </c>
      <c r="H13">
        <f t="shared" si="1"/>
        <v>165884797.25640923</v>
      </c>
      <c r="I13">
        <f t="shared" si="1"/>
        <v>224882216.35484958</v>
      </c>
      <c r="J13">
        <f t="shared" si="1"/>
        <v>293765689.46437991</v>
      </c>
      <c r="K13">
        <f t="shared" si="1"/>
        <v>374831332.35531783</v>
      </c>
      <c r="L13">
        <f t="shared" si="1"/>
        <v>475618058.47353995</v>
      </c>
      <c r="M13">
        <f t="shared" si="1"/>
        <v>594648700.0068084</v>
      </c>
      <c r="N13">
        <f t="shared" si="1"/>
        <v>735890945.00623214</v>
      </c>
      <c r="O13">
        <f t="shared" si="1"/>
        <v>908889593.6546371</v>
      </c>
      <c r="P13">
        <f t="shared" si="1"/>
        <v>1034848300.1992055</v>
      </c>
      <c r="Q13">
        <f t="shared" si="1"/>
        <v>1360655823.7190986</v>
      </c>
      <c r="U13" t="s">
        <v>40</v>
      </c>
      <c r="V13" s="72">
        <v>2299000000</v>
      </c>
    </row>
    <row r="14" spans="1:23" x14ac:dyDescent="0.25">
      <c r="B14" t="s">
        <v>52</v>
      </c>
      <c r="C14" s="16">
        <f>IRR(C13:Q13)</f>
        <v>0.19934323065652237</v>
      </c>
    </row>
    <row r="15" spans="1:23" x14ac:dyDescent="0.25">
      <c r="B15" t="s">
        <v>53</v>
      </c>
      <c r="C15" s="13">
        <f>NPV(0.1,C13:Q13)</f>
        <v>1221716609.2919307</v>
      </c>
    </row>
    <row r="16" spans="1:23" x14ac:dyDescent="0.25">
      <c r="D16" s="13"/>
      <c r="G16" s="18"/>
      <c r="H16" s="18"/>
      <c r="I16" s="18"/>
    </row>
    <row r="17" spans="1:17" x14ac:dyDescent="0.25">
      <c r="C17" s="28"/>
    </row>
    <row r="18" spans="1:17" x14ac:dyDescent="0.25">
      <c r="C18" s="31">
        <f>V13</f>
        <v>2299000000</v>
      </c>
    </row>
    <row r="20" spans="1:17" x14ac:dyDescent="0.25">
      <c r="C20" s="14"/>
    </row>
    <row r="21" spans="1:17" x14ac:dyDescent="0.25">
      <c r="C21" s="16"/>
    </row>
    <row r="22" spans="1:17" x14ac:dyDescent="0.25">
      <c r="C22" s="13">
        <f>NPV(0.1,C20:Q20)</f>
        <v>0</v>
      </c>
    </row>
    <row r="25" spans="1:17" ht="15.75" thickBot="1" x14ac:dyDescent="0.3">
      <c r="A25" t="s">
        <v>139</v>
      </c>
    </row>
    <row r="26" spans="1:17" ht="15.75" thickBot="1" x14ac:dyDescent="0.3">
      <c r="A26" t="s">
        <v>135</v>
      </c>
      <c r="B26" s="66" t="s">
        <v>116</v>
      </c>
      <c r="C26" s="67" t="s">
        <v>117</v>
      </c>
      <c r="D26" s="67" t="s">
        <v>118</v>
      </c>
      <c r="E26" s="67" t="s">
        <v>119</v>
      </c>
      <c r="F26" s="67" t="s">
        <v>120</v>
      </c>
      <c r="G26" s="68" t="s">
        <v>121</v>
      </c>
      <c r="H26" s="67" t="s">
        <v>122</v>
      </c>
      <c r="I26" s="67" t="s">
        <v>123</v>
      </c>
      <c r="J26" s="67" t="s">
        <v>124</v>
      </c>
      <c r="K26" s="68" t="s">
        <v>125</v>
      </c>
      <c r="L26" s="67" t="s">
        <v>126</v>
      </c>
      <c r="M26" s="67" t="s">
        <v>127</v>
      </c>
      <c r="N26" s="67" t="s">
        <v>128</v>
      </c>
      <c r="O26" s="68" t="s">
        <v>129</v>
      </c>
      <c r="P26" s="67" t="s">
        <v>130</v>
      </c>
      <c r="Q26" s="68" t="s">
        <v>131</v>
      </c>
    </row>
    <row r="27" spans="1:17" x14ac:dyDescent="0.25">
      <c r="B27" t="s">
        <v>3</v>
      </c>
      <c r="C27">
        <f>'Cool   Reflective Roof Coating'!G66</f>
        <v>-1690000</v>
      </c>
      <c r="D27">
        <f>'Cool   Reflective Roof Coating'!H66</f>
        <v>-1836250</v>
      </c>
      <c r="E27">
        <f>'Cool   Reflective Roof Coating'!I66</f>
        <v>-1836250</v>
      </c>
      <c r="F27">
        <f>'Cool   Reflective Roof Coating'!J66</f>
        <v>1836250</v>
      </c>
      <c r="G27">
        <f>'Cool   Reflective Roof Coating'!K66</f>
        <v>1836250</v>
      </c>
      <c r="H27">
        <f>'Cool   Reflective Roof Coating'!L66</f>
        <v>1836250</v>
      </c>
      <c r="I27">
        <f>'Cool   Reflective Roof Coating'!M66</f>
        <v>1836250</v>
      </c>
      <c r="J27">
        <f>'Cool   Reflective Roof Coating'!N66</f>
        <v>1836250</v>
      </c>
      <c r="K27">
        <f>'Cool   Reflective Roof Coating'!O66</f>
        <v>1836250</v>
      </c>
      <c r="L27">
        <f>'Cool   Reflective Roof Coating'!P66</f>
        <v>1836250</v>
      </c>
      <c r="M27">
        <f>'Cool   Reflective Roof Coating'!Q66</f>
        <v>1836250</v>
      </c>
      <c r="N27">
        <f>'Cool   Reflective Roof Coating'!R66</f>
        <v>1836250</v>
      </c>
      <c r="O27">
        <f>'Cool   Reflective Roof Coating'!S66</f>
        <v>1836250</v>
      </c>
      <c r="P27">
        <f>'Cool   Reflective Roof Coating'!T66</f>
        <v>1836250</v>
      </c>
      <c r="Q27">
        <f>'Cool   Reflective Roof Coating'!U66</f>
        <v>1836250</v>
      </c>
    </row>
    <row r="28" spans="1:17" x14ac:dyDescent="0.25">
      <c r="B28" t="s">
        <v>146</v>
      </c>
      <c r="C28">
        <f>'Ceiling Installation + Roof Ins'!G70</f>
        <v>-1722300</v>
      </c>
      <c r="D28">
        <f>'Ceiling Installation + Roof Ins'!H70</f>
        <v>-905200</v>
      </c>
      <c r="E28">
        <f>'Ceiling Installation + Roof Ins'!I70</f>
        <v>905200</v>
      </c>
      <c r="F28">
        <f>'Ceiling Installation + Roof Ins'!J70</f>
        <v>905200</v>
      </c>
      <c r="G28">
        <f>'Ceiling Installation + Roof Ins'!K70</f>
        <v>905200</v>
      </c>
      <c r="H28">
        <f>'Ceiling Installation + Roof Ins'!L70</f>
        <v>905200</v>
      </c>
      <c r="I28">
        <f>'Ceiling Installation + Roof Ins'!M70</f>
        <v>905200</v>
      </c>
      <c r="J28">
        <f>'Ceiling Installation + Roof Ins'!N70</f>
        <v>905200</v>
      </c>
      <c r="K28">
        <f>'Ceiling Installation + Roof Ins'!O70</f>
        <v>905200</v>
      </c>
      <c r="L28">
        <f>'Ceiling Installation + Roof Ins'!P70</f>
        <v>905200</v>
      </c>
      <c r="M28">
        <f>'Ceiling Installation + Roof Ins'!Q70</f>
        <v>905200</v>
      </c>
      <c r="N28">
        <f>'Ceiling Installation + Roof Ins'!R70</f>
        <v>905200</v>
      </c>
      <c r="O28">
        <f>'Ceiling Installation + Roof Ins'!S70</f>
        <v>905200</v>
      </c>
      <c r="P28">
        <f>'Ceiling Installation + Roof Ins'!T70</f>
        <v>905200</v>
      </c>
      <c r="Q28">
        <f>'Ceiling Installation + Roof Ins'!U70</f>
        <v>905200</v>
      </c>
    </row>
    <row r="29" spans="1:17" x14ac:dyDescent="0.25">
      <c r="B29" t="s">
        <v>147</v>
      </c>
      <c r="C29">
        <f>'Cross Ventilation Improvements'!G68</f>
        <v>17639461</v>
      </c>
      <c r="D29">
        <f>'Cross Ventilation Improvements'!H68</f>
        <v>17639461</v>
      </c>
      <c r="E29">
        <f>'Cross Ventilation Improvements'!I68</f>
        <v>17639461</v>
      </c>
      <c r="F29">
        <f>'Cross Ventilation Improvements'!J68</f>
        <v>-17639461</v>
      </c>
      <c r="G29">
        <f>'Cross Ventilation Improvements'!K68</f>
        <v>17639461</v>
      </c>
      <c r="H29">
        <f>'Cross Ventilation Improvements'!L68</f>
        <v>-17639461</v>
      </c>
      <c r="I29">
        <f>'Cross Ventilation Improvements'!M68</f>
        <v>-17639461</v>
      </c>
      <c r="J29">
        <f>'Cross Ventilation Improvements'!N68</f>
        <v>-17639461</v>
      </c>
      <c r="K29">
        <f>'Cross Ventilation Improvements'!O68</f>
        <v>-17639461</v>
      </c>
      <c r="L29">
        <f>'Cross Ventilation Improvements'!P68</f>
        <v>-17639461</v>
      </c>
      <c r="M29">
        <f>'Cross Ventilation Improvements'!Q68</f>
        <v>-17639461</v>
      </c>
      <c r="N29">
        <f>'Cross Ventilation Improvements'!R68</f>
        <v>-17639461</v>
      </c>
      <c r="O29">
        <f>'Cross Ventilation Improvements'!S68</f>
        <v>-17639461</v>
      </c>
      <c r="P29">
        <f>'Cross Ventilation Improvements'!T68</f>
        <v>-17639461</v>
      </c>
      <c r="Q29">
        <f>'Cross Ventilation Improvements'!U68</f>
        <v>-17639461</v>
      </c>
    </row>
    <row r="30" spans="1:17" x14ac:dyDescent="0.25">
      <c r="B30" t="s">
        <v>141</v>
      </c>
      <c r="C30">
        <f>'External Shading (Awnings, Over'!G63</f>
        <v>-36440</v>
      </c>
      <c r="D30">
        <f>'External Shading (Awnings, Over'!H63</f>
        <v>-278560</v>
      </c>
      <c r="E30">
        <f>'External Shading (Awnings, Over'!I63</f>
        <v>-278560</v>
      </c>
      <c r="F30">
        <f>'External Shading (Awnings, Over'!J63</f>
        <v>278560</v>
      </c>
      <c r="G30">
        <f>'External Shading (Awnings, Over'!K63</f>
        <v>278560</v>
      </c>
      <c r="H30">
        <f>'External Shading (Awnings, Over'!L63</f>
        <v>278560</v>
      </c>
      <c r="I30">
        <f>'External Shading (Awnings, Over'!M63</f>
        <v>278560</v>
      </c>
      <c r="J30">
        <f>'External Shading (Awnings, Over'!N63</f>
        <v>278560</v>
      </c>
      <c r="K30">
        <f>'External Shading (Awnings, Over'!O63</f>
        <v>278560</v>
      </c>
      <c r="L30">
        <f>'External Shading (Awnings, Over'!P63</f>
        <v>278560</v>
      </c>
      <c r="M30">
        <f>'External Shading (Awnings, Over'!Q63</f>
        <v>-21440</v>
      </c>
      <c r="N30">
        <f>'External Shading (Awnings, Over'!R63</f>
        <v>-21440</v>
      </c>
      <c r="O30">
        <f>'External Shading (Awnings, Over'!S63</f>
        <v>-21440</v>
      </c>
      <c r="P30">
        <f>'External Shading (Awnings, Over'!T63</f>
        <v>-21440</v>
      </c>
      <c r="Q30">
        <f>'External Shading (Awnings, Over'!U63</f>
        <v>278560</v>
      </c>
    </row>
    <row r="31" spans="1:17" x14ac:dyDescent="0.25">
      <c r="B31" t="s">
        <v>142</v>
      </c>
      <c r="C31">
        <f>'Efficient Fans (DC or Energy-Ef'!G65</f>
        <v>-5757010</v>
      </c>
      <c r="D31">
        <f>'Efficient Fans (DC or Energy-Ef'!H65</f>
        <v>1895990</v>
      </c>
      <c r="E31">
        <f>'Efficient Fans (DC or Energy-Ef'!I65</f>
        <v>2392990</v>
      </c>
      <c r="F31">
        <f>'Efficient Fans (DC or Energy-Ef'!J65</f>
        <v>824990</v>
      </c>
      <c r="G31">
        <f>'Efficient Fans (DC or Energy-Ef'!K65</f>
        <v>824990</v>
      </c>
      <c r="H31">
        <f>'Efficient Fans (DC or Energy-Ef'!L65</f>
        <v>824990</v>
      </c>
      <c r="I31">
        <f>'Efficient Fans (DC or Energy-Ef'!M65</f>
        <v>824990</v>
      </c>
      <c r="J31">
        <f>'Efficient Fans (DC or Energy-Ef'!N65</f>
        <v>824990</v>
      </c>
      <c r="K31">
        <f>'Efficient Fans (DC or Energy-Ef'!O65</f>
        <v>824990</v>
      </c>
      <c r="L31">
        <f>'Efficient Fans (DC or Energy-Ef'!P65</f>
        <v>824990</v>
      </c>
      <c r="M31">
        <f>'Efficient Fans (DC or Energy-Ef'!Q65</f>
        <v>824990</v>
      </c>
      <c r="N31">
        <f>'Efficient Fans (DC or Energy-Ef'!R65</f>
        <v>814990</v>
      </c>
      <c r="O31">
        <f>'Efficient Fans (DC or Energy-Ef'!S65</f>
        <v>824990</v>
      </c>
      <c r="P31">
        <f>'Efficient Fans (DC or Energy-Ef'!T65</f>
        <v>824990</v>
      </c>
      <c r="Q31">
        <f>'Efficient Fans (DC or Energy-Ef'!U65</f>
        <v>814990</v>
      </c>
    </row>
    <row r="32" spans="1:17" x14ac:dyDescent="0.25">
      <c r="B32" t="s">
        <v>5</v>
      </c>
      <c r="C32">
        <f>Honey!G69</f>
        <v>-127200</v>
      </c>
      <c r="D32">
        <f>Honey!H69</f>
        <v>46800</v>
      </c>
      <c r="E32">
        <f>Honey!I69</f>
        <v>46800</v>
      </c>
      <c r="F32">
        <f>Honey!J69</f>
        <v>46800</v>
      </c>
      <c r="G32">
        <f>Honey!K69</f>
        <v>46800</v>
      </c>
      <c r="H32">
        <f>Honey!L69</f>
        <v>46800</v>
      </c>
      <c r="I32">
        <f>Honey!M69</f>
        <v>46800</v>
      </c>
      <c r="J32">
        <f>Honey!N69</f>
        <v>46800</v>
      </c>
      <c r="K32">
        <f>Honey!O69</f>
        <v>46800</v>
      </c>
      <c r="L32">
        <f>Honey!P69</f>
        <v>46800</v>
      </c>
      <c r="M32">
        <f>Honey!Q69</f>
        <v>46800</v>
      </c>
      <c r="N32">
        <f>Honey!R69</f>
        <v>46800</v>
      </c>
      <c r="O32">
        <f>Honey!S69</f>
        <v>46800</v>
      </c>
      <c r="P32">
        <f>Honey!T69</f>
        <v>46800</v>
      </c>
      <c r="Q32">
        <f>Honey!U69</f>
        <v>46800</v>
      </c>
    </row>
    <row r="33" spans="2:17" x14ac:dyDescent="0.25">
      <c r="B33" t="s">
        <v>143</v>
      </c>
      <c r="C33">
        <f>'School kitchen gardening'!G62</f>
        <v>-280410</v>
      </c>
      <c r="D33">
        <f>'School kitchen gardening'!H62</f>
        <v>-79590</v>
      </c>
      <c r="E33">
        <f>'School kitchen gardening'!I62</f>
        <v>79590</v>
      </c>
      <c r="F33">
        <f>'School kitchen gardening'!J62</f>
        <v>79590</v>
      </c>
      <c r="G33">
        <f>'School kitchen gardening'!K62</f>
        <v>79590</v>
      </c>
      <c r="H33">
        <f>'School kitchen gardening'!L62</f>
        <v>79590</v>
      </c>
      <c r="I33">
        <f>'School kitchen gardening'!M62</f>
        <v>79590</v>
      </c>
      <c r="J33">
        <f>'School kitchen gardening'!N62</f>
        <v>79590</v>
      </c>
      <c r="K33">
        <f>'School kitchen gardening'!O62</f>
        <v>79590</v>
      </c>
      <c r="L33">
        <f>'School kitchen gardening'!P62</f>
        <v>79590</v>
      </c>
      <c r="M33">
        <f>'School kitchen gardening'!Q62</f>
        <v>79590</v>
      </c>
      <c r="N33">
        <f>'School kitchen gardening'!R62</f>
        <v>79590</v>
      </c>
      <c r="O33">
        <f>'School kitchen gardening'!S62</f>
        <v>79590</v>
      </c>
      <c r="P33">
        <f>'School kitchen gardening'!T62</f>
        <v>79590</v>
      </c>
      <c r="Q33">
        <f>'School kitchen gardening'!U62</f>
        <v>79590</v>
      </c>
    </row>
    <row r="34" spans="2:17" x14ac:dyDescent="0.25">
      <c r="B34" t="s">
        <v>132</v>
      </c>
      <c r="C34">
        <f t="shared" ref="C34:Q34" si="2">SUM(C27:C33)</f>
        <v>8026101</v>
      </c>
      <c r="D34">
        <f t="shared" si="2"/>
        <v>16482651</v>
      </c>
      <c r="E34">
        <f t="shared" si="2"/>
        <v>18949231</v>
      </c>
      <c r="F34">
        <f t="shared" si="2"/>
        <v>-13668071</v>
      </c>
      <c r="G34">
        <f t="shared" si="2"/>
        <v>21610851</v>
      </c>
      <c r="H34">
        <f t="shared" si="2"/>
        <v>-13668071</v>
      </c>
      <c r="I34">
        <f t="shared" si="2"/>
        <v>-13668071</v>
      </c>
      <c r="J34">
        <f t="shared" si="2"/>
        <v>-13668071</v>
      </c>
      <c r="K34">
        <f t="shared" si="2"/>
        <v>-13668071</v>
      </c>
      <c r="L34">
        <f t="shared" si="2"/>
        <v>-13668071</v>
      </c>
      <c r="M34">
        <f t="shared" si="2"/>
        <v>-13968071</v>
      </c>
      <c r="N34">
        <f t="shared" si="2"/>
        <v>-13978071</v>
      </c>
      <c r="O34">
        <f t="shared" si="2"/>
        <v>-13968071</v>
      </c>
      <c r="P34">
        <f t="shared" si="2"/>
        <v>-13968071</v>
      </c>
      <c r="Q34">
        <f t="shared" si="2"/>
        <v>-13678071</v>
      </c>
    </row>
    <row r="35" spans="2:17" x14ac:dyDescent="0.25">
      <c r="B35" t="s">
        <v>136</v>
      </c>
      <c r="C35">
        <f>C11</f>
        <v>28836176.666666672</v>
      </c>
    </row>
    <row r="36" spans="2:17" x14ac:dyDescent="0.25">
      <c r="B36" t="s">
        <v>138</v>
      </c>
      <c r="C36" s="19">
        <f>C12</f>
        <v>2299000000</v>
      </c>
    </row>
    <row r="37" spans="2:17" x14ac:dyDescent="0.25">
      <c r="B37" t="s">
        <v>158</v>
      </c>
      <c r="C37" s="18">
        <f>-(C34*($C$12/$C$11))</f>
        <v>-639890870.8424474</v>
      </c>
      <c r="D37" s="18">
        <f>(D34*($C$12/$C$11))</f>
        <v>1314099822.8382792</v>
      </c>
      <c r="E37">
        <f t="shared" ref="E37:Q37" si="3">E34*($C$12/$C$11)</f>
        <v>1510750976.8921049</v>
      </c>
      <c r="F37">
        <f t="shared" si="3"/>
        <v>-1089703936.5597818</v>
      </c>
      <c r="G37" s="18">
        <f>(G34*($C$12/$C$11))</f>
        <v>1722951937.1904709</v>
      </c>
      <c r="H37">
        <f t="shared" si="3"/>
        <v>-1089703936.5597818</v>
      </c>
      <c r="I37">
        <f t="shared" si="3"/>
        <v>-1089703936.5597818</v>
      </c>
      <c r="J37">
        <f t="shared" si="3"/>
        <v>-1089703936.5597818</v>
      </c>
      <c r="K37">
        <f t="shared" si="3"/>
        <v>-1089703936.5597818</v>
      </c>
      <c r="L37">
        <f t="shared" si="3"/>
        <v>-1089703936.5597818</v>
      </c>
      <c r="M37">
        <f t="shared" si="3"/>
        <v>-1113621809.1672575</v>
      </c>
      <c r="N37">
        <f t="shared" si="3"/>
        <v>-1114419071.5875068</v>
      </c>
      <c r="O37">
        <f t="shared" si="3"/>
        <v>-1113621809.1672575</v>
      </c>
      <c r="P37">
        <f t="shared" si="3"/>
        <v>-1113621809.1672575</v>
      </c>
      <c r="Q37">
        <f t="shared" si="3"/>
        <v>-1090501198.980031</v>
      </c>
    </row>
    <row r="38" spans="2:17" x14ac:dyDescent="0.25">
      <c r="B38" t="s">
        <v>159</v>
      </c>
      <c r="C38" s="16">
        <f>IRR(C37:Q37)</f>
        <v>0.26192151170377431</v>
      </c>
    </row>
    <row r="39" spans="2:17" x14ac:dyDescent="0.25">
      <c r="B39" t="s">
        <v>160</v>
      </c>
      <c r="C39" s="13">
        <f>NPV(0.1,C37:Q37)</f>
        <v>-2222316271.3291302</v>
      </c>
    </row>
    <row r="40" spans="2:17" x14ac:dyDescent="0.25">
      <c r="C40" s="13"/>
    </row>
    <row r="41" spans="2:17" x14ac:dyDescent="0.25">
      <c r="C41" s="70"/>
    </row>
    <row r="42" spans="2:17" x14ac:dyDescent="0.25">
      <c r="C42" s="13"/>
    </row>
    <row r="44" spans="2:17" x14ac:dyDescent="0.25">
      <c r="C44" s="28"/>
    </row>
    <row r="45" spans="2:17" x14ac:dyDescent="0.25">
      <c r="C45" s="31"/>
    </row>
    <row r="47" spans="2:17" x14ac:dyDescent="0.25">
      <c r="C47" s="14"/>
    </row>
    <row r="48" spans="2:17" x14ac:dyDescent="0.25">
      <c r="C48" s="16"/>
    </row>
    <row r="49" spans="3:17" x14ac:dyDescent="0.25">
      <c r="C49" s="13">
        <f>NPV(0.1,C47:Q47)</f>
        <v>0</v>
      </c>
    </row>
    <row r="51" spans="3:17" x14ac:dyDescent="0.25"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</row>
    <row r="52" spans="3:17" x14ac:dyDescent="0.25"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</row>
    <row r="53" spans="3:17" x14ac:dyDescent="0.25">
      <c r="C53" s="16"/>
    </row>
    <row r="54" spans="3:17" x14ac:dyDescent="0.25">
      <c r="C54" s="1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DE471-65A7-40CC-A54F-F76FE26D646D}">
  <dimension ref="A1:V66"/>
  <sheetViews>
    <sheetView topLeftCell="A33" workbookViewId="0">
      <selection activeCell="B52" sqref="B52"/>
    </sheetView>
  </sheetViews>
  <sheetFormatPr defaultColWidth="15.7109375" defaultRowHeight="15" x14ac:dyDescent="0.25"/>
  <cols>
    <col min="2" max="2" width="26.85546875" customWidth="1"/>
  </cols>
  <sheetData>
    <row r="1" spans="1:21" x14ac:dyDescent="0.25">
      <c r="A1" s="36"/>
      <c r="B1" s="143" t="s">
        <v>18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</row>
    <row r="2" spans="1:21" x14ac:dyDescent="0.25">
      <c r="A2" s="36"/>
      <c r="B2" s="37"/>
      <c r="C2" s="38" t="s">
        <v>19</v>
      </c>
      <c r="D2" s="39" t="s">
        <v>20</v>
      </c>
      <c r="E2" s="39" t="s">
        <v>21</v>
      </c>
      <c r="F2" s="39" t="s">
        <v>22</v>
      </c>
      <c r="G2" s="144" t="s">
        <v>23</v>
      </c>
      <c r="H2" s="145"/>
      <c r="I2" s="145"/>
      <c r="J2" s="145"/>
      <c r="K2" s="145"/>
      <c r="L2" s="145"/>
      <c r="M2" s="145"/>
      <c r="N2" s="145"/>
      <c r="O2" s="145"/>
      <c r="P2" s="145"/>
    </row>
    <row r="3" spans="1:21" x14ac:dyDescent="0.25">
      <c r="A3" s="36"/>
      <c r="B3" s="38" t="s">
        <v>24</v>
      </c>
      <c r="C3" s="37"/>
      <c r="D3" s="40"/>
      <c r="E3" s="40"/>
      <c r="F3" s="40"/>
      <c r="G3" s="40">
        <v>1</v>
      </c>
      <c r="H3" s="40">
        <f t="shared" ref="H3:P3" si="0">G3+1</f>
        <v>2</v>
      </c>
      <c r="I3" s="40">
        <f t="shared" si="0"/>
        <v>3</v>
      </c>
      <c r="J3" s="40">
        <f t="shared" si="0"/>
        <v>4</v>
      </c>
      <c r="K3" s="40">
        <f t="shared" si="0"/>
        <v>5</v>
      </c>
      <c r="L3" s="40">
        <f t="shared" si="0"/>
        <v>6</v>
      </c>
      <c r="M3" s="40">
        <f t="shared" si="0"/>
        <v>7</v>
      </c>
      <c r="N3" s="40">
        <f t="shared" si="0"/>
        <v>8</v>
      </c>
      <c r="O3" s="40">
        <f t="shared" si="0"/>
        <v>9</v>
      </c>
      <c r="P3" s="40">
        <f t="shared" si="0"/>
        <v>10</v>
      </c>
      <c r="Q3">
        <v>11</v>
      </c>
      <c r="R3">
        <v>12</v>
      </c>
      <c r="S3">
        <v>13</v>
      </c>
      <c r="T3">
        <v>14</v>
      </c>
      <c r="U3">
        <v>15</v>
      </c>
    </row>
    <row r="4" spans="1:21" ht="35.25" customHeight="1" x14ac:dyDescent="0.25">
      <c r="A4" s="36"/>
      <c r="B4" s="61" t="s">
        <v>80</v>
      </c>
      <c r="C4" s="37" t="s">
        <v>36</v>
      </c>
      <c r="D4" s="40">
        <v>1300</v>
      </c>
      <c r="E4" s="40">
        <v>200</v>
      </c>
      <c r="F4" s="40">
        <v>0</v>
      </c>
      <c r="G4" s="40">
        <v>0</v>
      </c>
      <c r="H4" s="40">
        <f>L4*0.3</f>
        <v>78000</v>
      </c>
      <c r="I4" s="40">
        <f>K4*0.5</f>
        <v>130000</v>
      </c>
      <c r="J4" s="40">
        <f>K4*7</f>
        <v>1820000</v>
      </c>
      <c r="K4" s="40">
        <f>D4*E4</f>
        <v>260000</v>
      </c>
      <c r="L4" s="40">
        <f t="shared" ref="K4:U5" si="1">K4</f>
        <v>260000</v>
      </c>
      <c r="M4" s="40">
        <f t="shared" si="1"/>
        <v>260000</v>
      </c>
      <c r="N4" s="40">
        <f t="shared" si="1"/>
        <v>260000</v>
      </c>
      <c r="O4" s="40">
        <f t="shared" si="1"/>
        <v>260000</v>
      </c>
      <c r="P4" s="40">
        <f t="shared" si="1"/>
        <v>260000</v>
      </c>
      <c r="Q4" s="40">
        <f t="shared" si="1"/>
        <v>260000</v>
      </c>
      <c r="R4" s="40">
        <f t="shared" si="1"/>
        <v>260000</v>
      </c>
      <c r="S4" s="40">
        <f t="shared" si="1"/>
        <v>260000</v>
      </c>
      <c r="T4" s="40">
        <f t="shared" si="1"/>
        <v>260000</v>
      </c>
      <c r="U4" s="40">
        <f t="shared" si="1"/>
        <v>260000</v>
      </c>
    </row>
    <row r="5" spans="1:21" x14ac:dyDescent="0.25">
      <c r="A5" s="36"/>
      <c r="B5" s="62" t="s">
        <v>115</v>
      </c>
      <c r="C5" s="37" t="s">
        <v>36</v>
      </c>
      <c r="D5" s="40"/>
      <c r="E5" s="40"/>
      <c r="F5" s="40"/>
      <c r="G5" s="40">
        <f>F5</f>
        <v>0</v>
      </c>
      <c r="H5" s="40">
        <f>F5</f>
        <v>0</v>
      </c>
      <c r="I5" s="40">
        <f>G5</f>
        <v>0</v>
      </c>
      <c r="J5" s="40">
        <f>H5</f>
        <v>0</v>
      </c>
      <c r="K5" s="40">
        <f t="shared" si="1"/>
        <v>0</v>
      </c>
      <c r="L5" s="40">
        <f t="shared" si="1"/>
        <v>0</v>
      </c>
      <c r="M5" s="40">
        <f t="shared" si="1"/>
        <v>0</v>
      </c>
      <c r="N5" s="40">
        <f t="shared" si="1"/>
        <v>0</v>
      </c>
      <c r="O5" s="40">
        <f t="shared" si="1"/>
        <v>0</v>
      </c>
      <c r="P5" s="40">
        <f t="shared" si="1"/>
        <v>0</v>
      </c>
      <c r="Q5" s="40">
        <f t="shared" si="1"/>
        <v>0</v>
      </c>
      <c r="R5" s="40">
        <f t="shared" si="1"/>
        <v>0</v>
      </c>
      <c r="S5" s="40">
        <f t="shared" si="1"/>
        <v>0</v>
      </c>
      <c r="T5" s="40">
        <f t="shared" si="1"/>
        <v>0</v>
      </c>
      <c r="U5" s="40">
        <f t="shared" si="1"/>
        <v>0</v>
      </c>
    </row>
    <row r="6" spans="1:21" x14ac:dyDescent="0.25">
      <c r="A6" s="36"/>
      <c r="B6" s="38" t="s">
        <v>30</v>
      </c>
      <c r="C6" s="37"/>
      <c r="D6" s="40"/>
      <c r="E6" s="40"/>
      <c r="F6" s="39">
        <f t="shared" ref="F6:U6" si="2">SUM(F4:F5)</f>
        <v>0</v>
      </c>
      <c r="G6" s="39">
        <f t="shared" si="2"/>
        <v>0</v>
      </c>
      <c r="H6" s="39">
        <f t="shared" si="2"/>
        <v>78000</v>
      </c>
      <c r="I6" s="39">
        <f t="shared" si="2"/>
        <v>130000</v>
      </c>
      <c r="J6" s="39">
        <f t="shared" si="2"/>
        <v>1820000</v>
      </c>
      <c r="K6" s="39">
        <f t="shared" si="2"/>
        <v>260000</v>
      </c>
      <c r="L6" s="39">
        <f t="shared" si="2"/>
        <v>260000</v>
      </c>
      <c r="M6" s="39">
        <f t="shared" si="2"/>
        <v>260000</v>
      </c>
      <c r="N6" s="39">
        <f t="shared" si="2"/>
        <v>260000</v>
      </c>
      <c r="O6" s="39">
        <f t="shared" si="2"/>
        <v>260000</v>
      </c>
      <c r="P6" s="39">
        <f t="shared" si="2"/>
        <v>260000</v>
      </c>
      <c r="Q6" s="39">
        <f t="shared" si="2"/>
        <v>260000</v>
      </c>
      <c r="R6" s="39">
        <f t="shared" si="2"/>
        <v>260000</v>
      </c>
      <c r="S6" s="39">
        <f t="shared" si="2"/>
        <v>260000</v>
      </c>
      <c r="T6" s="39">
        <f t="shared" si="2"/>
        <v>260000</v>
      </c>
      <c r="U6" s="39">
        <f t="shared" si="2"/>
        <v>260000</v>
      </c>
    </row>
    <row r="7" spans="1:21" x14ac:dyDescent="0.25">
      <c r="A7" s="36"/>
      <c r="B7" s="37"/>
      <c r="C7" s="37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</row>
    <row r="8" spans="1:21" x14ac:dyDescent="0.25">
      <c r="A8" s="36"/>
      <c r="B8" s="43" t="s">
        <v>31</v>
      </c>
      <c r="C8" s="37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</row>
    <row r="9" spans="1:21" x14ac:dyDescent="0.25">
      <c r="A9" s="36"/>
      <c r="B9" s="38" t="s">
        <v>32</v>
      </c>
      <c r="C9" s="37"/>
      <c r="D9" s="40"/>
      <c r="E9" s="40"/>
      <c r="F9" s="44"/>
      <c r="G9" s="40"/>
      <c r="H9" s="40"/>
      <c r="I9" s="40"/>
      <c r="J9" s="40"/>
      <c r="K9" s="40"/>
      <c r="L9" s="40"/>
      <c r="M9" s="40"/>
      <c r="N9" s="40"/>
      <c r="O9" s="40"/>
      <c r="P9" s="40"/>
    </row>
    <row r="10" spans="1:21" x14ac:dyDescent="0.25">
      <c r="A10" s="36"/>
      <c r="B10" s="63" t="s">
        <v>81</v>
      </c>
      <c r="C10" s="37" t="s">
        <v>36</v>
      </c>
      <c r="D10" s="40">
        <v>1</v>
      </c>
      <c r="E10" s="40">
        <v>500000</v>
      </c>
      <c r="F10" s="40">
        <f>D10*E10</f>
        <v>500000</v>
      </c>
      <c r="G10" s="40">
        <f>D10*E10</f>
        <v>500000</v>
      </c>
      <c r="H10" s="40">
        <v>0</v>
      </c>
      <c r="I10" s="40">
        <v>10000</v>
      </c>
      <c r="J10" s="40"/>
      <c r="K10" s="40"/>
      <c r="L10" s="40">
        <v>10000</v>
      </c>
      <c r="M10" s="40"/>
      <c r="N10" s="40"/>
      <c r="O10" s="40">
        <v>10000</v>
      </c>
      <c r="P10" s="40"/>
      <c r="R10">
        <v>10000</v>
      </c>
      <c r="U10" s="48">
        <v>10000</v>
      </c>
    </row>
    <row r="11" spans="1:21" x14ac:dyDescent="0.25">
      <c r="A11" s="36"/>
      <c r="B11" s="38" t="s">
        <v>37</v>
      </c>
      <c r="C11" s="37"/>
      <c r="D11" s="40"/>
      <c r="E11" s="40"/>
      <c r="F11" s="39">
        <f t="shared" ref="F11:U11" si="3">SUM(F10:F10)</f>
        <v>500000</v>
      </c>
      <c r="G11" s="39">
        <f t="shared" si="3"/>
        <v>500000</v>
      </c>
      <c r="H11" s="39">
        <f t="shared" si="3"/>
        <v>0</v>
      </c>
      <c r="I11" s="39">
        <f t="shared" si="3"/>
        <v>10000</v>
      </c>
      <c r="J11" s="39">
        <f t="shared" si="3"/>
        <v>0</v>
      </c>
      <c r="K11" s="39">
        <f t="shared" si="3"/>
        <v>0</v>
      </c>
      <c r="L11" s="39">
        <f t="shared" si="3"/>
        <v>10000</v>
      </c>
      <c r="M11" s="39">
        <f t="shared" si="3"/>
        <v>0</v>
      </c>
      <c r="N11" s="39">
        <f t="shared" si="3"/>
        <v>0</v>
      </c>
      <c r="O11" s="39">
        <f t="shared" si="3"/>
        <v>10000</v>
      </c>
      <c r="P11" s="39">
        <f t="shared" si="3"/>
        <v>0</v>
      </c>
      <c r="Q11" s="39">
        <f t="shared" si="3"/>
        <v>0</v>
      </c>
      <c r="R11" s="39">
        <f t="shared" si="3"/>
        <v>10000</v>
      </c>
      <c r="S11" s="39">
        <f t="shared" si="3"/>
        <v>0</v>
      </c>
      <c r="T11" s="39">
        <f t="shared" si="3"/>
        <v>0</v>
      </c>
      <c r="U11" s="39">
        <f t="shared" si="3"/>
        <v>10000</v>
      </c>
    </row>
    <row r="12" spans="1:21" x14ac:dyDescent="0.25">
      <c r="A12" s="36"/>
      <c r="B12" s="37"/>
      <c r="C12" s="37"/>
      <c r="D12" s="40"/>
      <c r="E12" s="40"/>
      <c r="F12" s="40">
        <f t="shared" ref="F12:F13" si="4">D12*E12</f>
        <v>0</v>
      </c>
      <c r="G12" s="40"/>
      <c r="H12" s="40"/>
      <c r="I12" s="40"/>
      <c r="J12" s="40"/>
      <c r="K12" s="40"/>
      <c r="L12" s="40"/>
      <c r="M12" s="40"/>
      <c r="N12" s="40"/>
      <c r="O12" s="40"/>
      <c r="P12" s="40"/>
    </row>
    <row r="13" spans="1:21" x14ac:dyDescent="0.25">
      <c r="A13" s="36"/>
      <c r="B13" s="38" t="s">
        <v>38</v>
      </c>
      <c r="C13" s="37"/>
      <c r="D13" s="40"/>
      <c r="E13" s="40"/>
      <c r="F13" s="40">
        <f t="shared" si="4"/>
        <v>0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</row>
    <row r="14" spans="1:21" x14ac:dyDescent="0.25">
      <c r="B14" s="64" t="s">
        <v>237</v>
      </c>
      <c r="C14" s="37" t="s">
        <v>40</v>
      </c>
      <c r="D14" s="40"/>
      <c r="E14" s="40"/>
      <c r="F14" s="40">
        <v>7000</v>
      </c>
      <c r="G14" s="40">
        <f>F14</f>
        <v>7000</v>
      </c>
      <c r="H14" s="40">
        <f>G14</f>
        <v>7000</v>
      </c>
      <c r="I14" s="40">
        <f t="shared" ref="I14:U17" si="5">H14</f>
        <v>7000</v>
      </c>
      <c r="J14" s="40">
        <f t="shared" si="5"/>
        <v>7000</v>
      </c>
      <c r="K14" s="40">
        <f t="shared" si="5"/>
        <v>7000</v>
      </c>
      <c r="L14" s="40">
        <f t="shared" si="5"/>
        <v>7000</v>
      </c>
      <c r="M14" s="40">
        <f t="shared" si="5"/>
        <v>7000</v>
      </c>
      <c r="N14" s="40">
        <f t="shared" si="5"/>
        <v>7000</v>
      </c>
      <c r="O14" s="40">
        <f t="shared" si="5"/>
        <v>7000</v>
      </c>
      <c r="P14" s="40">
        <f t="shared" si="5"/>
        <v>7000</v>
      </c>
      <c r="Q14" s="40">
        <f t="shared" si="5"/>
        <v>7000</v>
      </c>
      <c r="R14" s="40">
        <f t="shared" si="5"/>
        <v>7000</v>
      </c>
      <c r="S14" s="40">
        <f t="shared" si="5"/>
        <v>7000</v>
      </c>
      <c r="T14" s="40">
        <f t="shared" si="5"/>
        <v>7000</v>
      </c>
      <c r="U14" s="40">
        <f t="shared" si="5"/>
        <v>7000</v>
      </c>
    </row>
    <row r="15" spans="1:21" x14ac:dyDescent="0.25">
      <c r="B15" s="65" t="s">
        <v>7</v>
      </c>
      <c r="C15" s="37" t="s">
        <v>40</v>
      </c>
      <c r="D15" s="40"/>
      <c r="E15" s="40"/>
      <c r="F15" s="40">
        <v>150000</v>
      </c>
      <c r="G15" s="40">
        <f>F15</f>
        <v>150000</v>
      </c>
      <c r="H15" s="40">
        <f t="shared" ref="H15:T17" si="6">G15</f>
        <v>150000</v>
      </c>
      <c r="I15" s="40">
        <f t="shared" si="5"/>
        <v>150000</v>
      </c>
      <c r="J15" s="40">
        <f t="shared" si="5"/>
        <v>150000</v>
      </c>
      <c r="K15" s="40">
        <f t="shared" si="6"/>
        <v>150000</v>
      </c>
      <c r="L15" s="40">
        <f t="shared" si="5"/>
        <v>150000</v>
      </c>
      <c r="M15" s="40">
        <f t="shared" si="5"/>
        <v>150000</v>
      </c>
      <c r="N15" s="40">
        <f t="shared" si="6"/>
        <v>150000</v>
      </c>
      <c r="O15" s="40">
        <f t="shared" si="5"/>
        <v>150000</v>
      </c>
      <c r="P15" s="40">
        <f t="shared" si="5"/>
        <v>150000</v>
      </c>
      <c r="Q15" s="40">
        <f t="shared" si="6"/>
        <v>150000</v>
      </c>
      <c r="R15" s="40">
        <f t="shared" si="5"/>
        <v>150000</v>
      </c>
      <c r="S15" s="40">
        <f t="shared" si="5"/>
        <v>150000</v>
      </c>
      <c r="T15" s="40">
        <f t="shared" si="6"/>
        <v>150000</v>
      </c>
      <c r="U15" s="40">
        <f t="shared" si="5"/>
        <v>150000</v>
      </c>
    </row>
    <row r="16" spans="1:21" x14ac:dyDescent="0.25">
      <c r="A16" s="36"/>
      <c r="B16" s="45" t="s">
        <v>41</v>
      </c>
      <c r="C16" s="37" t="s">
        <v>40</v>
      </c>
      <c r="D16" s="40"/>
      <c r="E16" s="40"/>
      <c r="F16" s="40">
        <f>F4*0.6</f>
        <v>0</v>
      </c>
      <c r="G16" s="40">
        <f>F16</f>
        <v>0</v>
      </c>
      <c r="H16" s="40">
        <f>G16</f>
        <v>0</v>
      </c>
      <c r="I16" s="40">
        <f t="shared" si="5"/>
        <v>0</v>
      </c>
      <c r="J16" s="40">
        <f t="shared" si="5"/>
        <v>0</v>
      </c>
      <c r="K16" s="40">
        <f t="shared" si="6"/>
        <v>0</v>
      </c>
      <c r="L16" s="40">
        <f t="shared" si="5"/>
        <v>0</v>
      </c>
      <c r="M16" s="40">
        <f t="shared" si="5"/>
        <v>0</v>
      </c>
      <c r="N16" s="40">
        <f t="shared" si="6"/>
        <v>0</v>
      </c>
      <c r="O16" s="40">
        <f t="shared" si="5"/>
        <v>0</v>
      </c>
      <c r="P16" s="40">
        <f t="shared" si="5"/>
        <v>0</v>
      </c>
      <c r="Q16" s="40">
        <f t="shared" si="6"/>
        <v>0</v>
      </c>
      <c r="R16" s="40">
        <f t="shared" si="5"/>
        <v>0</v>
      </c>
      <c r="S16" s="40">
        <f t="shared" si="5"/>
        <v>0</v>
      </c>
      <c r="T16" s="40">
        <f t="shared" si="6"/>
        <v>0</v>
      </c>
      <c r="U16" s="40">
        <f t="shared" si="5"/>
        <v>0</v>
      </c>
    </row>
    <row r="17" spans="1:22" x14ac:dyDescent="0.25">
      <c r="A17" s="36"/>
      <c r="B17" s="45" t="s">
        <v>83</v>
      </c>
      <c r="C17" s="37" t="s">
        <v>40</v>
      </c>
      <c r="D17" s="40"/>
      <c r="E17" s="40"/>
      <c r="F17" s="40">
        <v>5600</v>
      </c>
      <c r="G17" s="40">
        <f>F17</f>
        <v>5600</v>
      </c>
      <c r="H17" s="40">
        <f>G17</f>
        <v>5600</v>
      </c>
      <c r="I17" s="40">
        <f t="shared" si="5"/>
        <v>5600</v>
      </c>
      <c r="J17" s="40">
        <f t="shared" si="5"/>
        <v>5600</v>
      </c>
      <c r="K17" s="40">
        <f t="shared" si="6"/>
        <v>5600</v>
      </c>
      <c r="L17" s="40">
        <f t="shared" si="5"/>
        <v>5600</v>
      </c>
      <c r="M17" s="40">
        <f t="shared" si="5"/>
        <v>5600</v>
      </c>
      <c r="N17" s="40">
        <f t="shared" si="6"/>
        <v>5600</v>
      </c>
      <c r="O17" s="40">
        <f t="shared" si="5"/>
        <v>5600</v>
      </c>
      <c r="P17" s="40">
        <f t="shared" si="5"/>
        <v>5600</v>
      </c>
      <c r="Q17" s="40">
        <f t="shared" si="6"/>
        <v>5600</v>
      </c>
      <c r="R17" s="40">
        <f t="shared" si="5"/>
        <v>5600</v>
      </c>
      <c r="S17" s="40">
        <f t="shared" si="5"/>
        <v>5600</v>
      </c>
      <c r="T17" s="40">
        <f t="shared" si="6"/>
        <v>5600</v>
      </c>
      <c r="U17" s="40">
        <f t="shared" si="5"/>
        <v>5600</v>
      </c>
      <c r="V17" s="46"/>
    </row>
    <row r="18" spans="1:22" x14ac:dyDescent="0.25">
      <c r="A18" s="36"/>
      <c r="B18" s="45"/>
      <c r="C18" s="37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6"/>
    </row>
    <row r="19" spans="1:22" x14ac:dyDescent="0.25">
      <c r="A19" s="36"/>
      <c r="B19" s="45" t="s">
        <v>84</v>
      </c>
      <c r="C19" s="37" t="s">
        <v>40</v>
      </c>
      <c r="D19" s="40"/>
      <c r="E19" s="40"/>
      <c r="F19" s="40">
        <v>8900</v>
      </c>
      <c r="G19" s="40">
        <f t="shared" ref="G19:U19" si="7">F19</f>
        <v>8900</v>
      </c>
      <c r="H19" s="40">
        <f t="shared" si="7"/>
        <v>8900</v>
      </c>
      <c r="I19" s="40">
        <f t="shared" si="7"/>
        <v>8900</v>
      </c>
      <c r="J19" s="40">
        <f t="shared" si="7"/>
        <v>8900</v>
      </c>
      <c r="K19" s="40">
        <f t="shared" si="7"/>
        <v>8900</v>
      </c>
      <c r="L19" s="40">
        <f t="shared" si="7"/>
        <v>8900</v>
      </c>
      <c r="M19" s="40">
        <f t="shared" si="7"/>
        <v>8900</v>
      </c>
      <c r="N19" s="40">
        <f t="shared" si="7"/>
        <v>8900</v>
      </c>
      <c r="O19" s="40">
        <f t="shared" si="7"/>
        <v>8900</v>
      </c>
      <c r="P19" s="40">
        <f t="shared" si="7"/>
        <v>8900</v>
      </c>
      <c r="Q19" s="40">
        <f t="shared" si="7"/>
        <v>8900</v>
      </c>
      <c r="R19" s="40">
        <f t="shared" si="7"/>
        <v>8900</v>
      </c>
      <c r="S19" s="40">
        <f t="shared" si="7"/>
        <v>8900</v>
      </c>
      <c r="T19" s="40">
        <f t="shared" si="7"/>
        <v>8900</v>
      </c>
      <c r="U19" s="40">
        <f t="shared" si="7"/>
        <v>8900</v>
      </c>
      <c r="V19" s="46"/>
    </row>
    <row r="20" spans="1:22" x14ac:dyDescent="0.25">
      <c r="A20" s="36"/>
      <c r="B20" s="45"/>
      <c r="C20" s="37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</row>
    <row r="21" spans="1:22" x14ac:dyDescent="0.25">
      <c r="A21" s="36"/>
      <c r="B21" s="38" t="s">
        <v>44</v>
      </c>
      <c r="C21" s="37"/>
      <c r="D21" s="40"/>
      <c r="E21" s="40"/>
      <c r="F21" s="39">
        <f>SUM(F14:F20)</f>
        <v>171500</v>
      </c>
      <c r="G21" s="39">
        <f t="shared" ref="G21:U21" si="8">SUM(G14:G20)</f>
        <v>171500</v>
      </c>
      <c r="H21" s="39">
        <f t="shared" si="8"/>
        <v>171500</v>
      </c>
      <c r="I21" s="39">
        <f t="shared" si="8"/>
        <v>171500</v>
      </c>
      <c r="J21" s="39">
        <f t="shared" si="8"/>
        <v>171500</v>
      </c>
      <c r="K21" s="39">
        <f t="shared" si="8"/>
        <v>171500</v>
      </c>
      <c r="L21" s="39">
        <f t="shared" si="8"/>
        <v>171500</v>
      </c>
      <c r="M21" s="39">
        <f t="shared" si="8"/>
        <v>171500</v>
      </c>
      <c r="N21" s="39">
        <f t="shared" si="8"/>
        <v>171500</v>
      </c>
      <c r="O21" s="39">
        <f t="shared" si="8"/>
        <v>171500</v>
      </c>
      <c r="P21" s="39">
        <f t="shared" si="8"/>
        <v>171500</v>
      </c>
      <c r="Q21" s="39">
        <f t="shared" si="8"/>
        <v>171500</v>
      </c>
      <c r="R21" s="39">
        <f t="shared" si="8"/>
        <v>171500</v>
      </c>
      <c r="S21" s="39">
        <f t="shared" si="8"/>
        <v>171500</v>
      </c>
      <c r="T21" s="39">
        <f t="shared" si="8"/>
        <v>171500</v>
      </c>
      <c r="U21" s="39">
        <f t="shared" si="8"/>
        <v>171500</v>
      </c>
    </row>
    <row r="22" spans="1:22" x14ac:dyDescent="0.25">
      <c r="A22" s="36"/>
      <c r="B22" s="47"/>
      <c r="C22" s="37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</row>
    <row r="23" spans="1:22" x14ac:dyDescent="0.25">
      <c r="A23" s="36"/>
      <c r="B23" s="38" t="s">
        <v>45</v>
      </c>
      <c r="C23" s="37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</row>
    <row r="24" spans="1:22" x14ac:dyDescent="0.25">
      <c r="A24" s="36"/>
      <c r="B24" s="37" t="s">
        <v>46</v>
      </c>
      <c r="C24" s="37" t="s">
        <v>47</v>
      </c>
      <c r="D24" s="40">
        <v>1</v>
      </c>
      <c r="E24" s="49">
        <f>E10/15</f>
        <v>33333.333333333336</v>
      </c>
      <c r="F24" s="40">
        <f>D24*E24</f>
        <v>33333.333333333336</v>
      </c>
      <c r="G24" s="40"/>
      <c r="H24" s="40">
        <f>D24*E24</f>
        <v>33333.333333333336</v>
      </c>
      <c r="I24" s="40">
        <f t="shared" ref="I24:U25" si="9">H24</f>
        <v>33333.333333333336</v>
      </c>
      <c r="J24" s="40">
        <f t="shared" si="9"/>
        <v>33333.333333333336</v>
      </c>
      <c r="K24" s="40">
        <f t="shared" si="9"/>
        <v>33333.333333333336</v>
      </c>
      <c r="L24" s="40">
        <f t="shared" si="9"/>
        <v>33333.333333333336</v>
      </c>
      <c r="M24" s="40">
        <f t="shared" si="9"/>
        <v>33333.333333333336</v>
      </c>
      <c r="N24" s="40">
        <f t="shared" si="9"/>
        <v>33333.333333333336</v>
      </c>
      <c r="O24" s="40">
        <f t="shared" si="9"/>
        <v>33333.333333333336</v>
      </c>
      <c r="P24" s="40">
        <f t="shared" si="9"/>
        <v>33333.333333333336</v>
      </c>
      <c r="Q24" s="40">
        <f t="shared" si="9"/>
        <v>33333.333333333336</v>
      </c>
      <c r="R24" s="40">
        <f t="shared" si="9"/>
        <v>33333.333333333336</v>
      </c>
      <c r="S24" s="40">
        <f t="shared" si="9"/>
        <v>33333.333333333336</v>
      </c>
      <c r="T24" s="40">
        <f t="shared" si="9"/>
        <v>33333.333333333336</v>
      </c>
      <c r="U24" s="40">
        <f t="shared" si="9"/>
        <v>33333.333333333336</v>
      </c>
      <c r="V24" s="48">
        <f>SUM(H24:U24)</f>
        <v>466666.66666666657</v>
      </c>
    </row>
    <row r="25" spans="1:22" x14ac:dyDescent="0.25">
      <c r="A25" s="36"/>
      <c r="B25" s="37" t="s">
        <v>85</v>
      </c>
      <c r="C25" s="37" t="s">
        <v>86</v>
      </c>
      <c r="D25" s="40"/>
      <c r="E25" s="49">
        <v>10000</v>
      </c>
      <c r="F25" s="40">
        <f>E25</f>
        <v>10000</v>
      </c>
      <c r="G25" s="40">
        <f>F25</f>
        <v>10000</v>
      </c>
      <c r="H25" s="40">
        <f t="shared" ref="H25" si="10">G25</f>
        <v>10000</v>
      </c>
      <c r="I25" s="40">
        <f t="shared" si="9"/>
        <v>10000</v>
      </c>
      <c r="J25" s="40">
        <f t="shared" si="9"/>
        <v>10000</v>
      </c>
      <c r="K25" s="40">
        <f t="shared" si="9"/>
        <v>10000</v>
      </c>
      <c r="L25" s="40">
        <f t="shared" si="9"/>
        <v>10000</v>
      </c>
      <c r="M25" s="40">
        <f t="shared" si="9"/>
        <v>10000</v>
      </c>
      <c r="N25" s="40">
        <f t="shared" si="9"/>
        <v>10000</v>
      </c>
      <c r="O25" s="40">
        <f t="shared" si="9"/>
        <v>10000</v>
      </c>
      <c r="P25" s="40">
        <f t="shared" si="9"/>
        <v>10000</v>
      </c>
      <c r="Q25" s="40">
        <f t="shared" si="9"/>
        <v>10000</v>
      </c>
      <c r="R25" s="40">
        <f t="shared" si="9"/>
        <v>10000</v>
      </c>
      <c r="S25" s="40">
        <f t="shared" si="9"/>
        <v>10000</v>
      </c>
      <c r="T25" s="40">
        <f t="shared" si="9"/>
        <v>10000</v>
      </c>
      <c r="U25" s="40">
        <f t="shared" si="9"/>
        <v>10000</v>
      </c>
      <c r="V25" s="48"/>
    </row>
    <row r="26" spans="1:22" x14ac:dyDescent="0.25">
      <c r="A26" s="36"/>
      <c r="B26" s="38" t="s">
        <v>48</v>
      </c>
      <c r="C26" s="37"/>
      <c r="D26" s="40"/>
      <c r="E26" s="40"/>
      <c r="F26" s="39">
        <f t="shared" ref="F26:U26" si="11">SUM(F24:F24)</f>
        <v>33333.333333333336</v>
      </c>
      <c r="G26" s="39">
        <f t="shared" si="11"/>
        <v>0</v>
      </c>
      <c r="H26" s="39">
        <f>SUM(H24:H25)</f>
        <v>43333.333333333336</v>
      </c>
      <c r="I26" s="39">
        <f t="shared" si="11"/>
        <v>33333.333333333336</v>
      </c>
      <c r="J26" s="39">
        <f t="shared" si="11"/>
        <v>33333.333333333336</v>
      </c>
      <c r="K26" s="39">
        <f t="shared" si="11"/>
        <v>33333.333333333336</v>
      </c>
      <c r="L26" s="39">
        <f t="shared" si="11"/>
        <v>33333.333333333336</v>
      </c>
      <c r="M26" s="39">
        <f t="shared" si="11"/>
        <v>33333.333333333336</v>
      </c>
      <c r="N26" s="39">
        <f t="shared" si="11"/>
        <v>33333.333333333336</v>
      </c>
      <c r="O26" s="39">
        <f t="shared" si="11"/>
        <v>33333.333333333336</v>
      </c>
      <c r="P26" s="39">
        <f t="shared" si="11"/>
        <v>33333.333333333336</v>
      </c>
      <c r="Q26" s="39">
        <f t="shared" si="11"/>
        <v>33333.333333333336</v>
      </c>
      <c r="R26" s="39">
        <f t="shared" si="11"/>
        <v>33333.333333333336</v>
      </c>
      <c r="S26" s="39">
        <f t="shared" si="11"/>
        <v>33333.333333333336</v>
      </c>
      <c r="T26" s="39">
        <f t="shared" si="11"/>
        <v>33333.333333333336</v>
      </c>
      <c r="U26" s="39">
        <f t="shared" si="11"/>
        <v>33333.333333333336</v>
      </c>
    </row>
    <row r="27" spans="1:22" x14ac:dyDescent="0.25">
      <c r="A27" s="36"/>
      <c r="B27" s="38" t="s">
        <v>49</v>
      </c>
      <c r="C27" s="37"/>
      <c r="D27" s="40"/>
      <c r="E27" s="40"/>
      <c r="F27" s="39">
        <f t="shared" ref="F27:U27" si="12">F11+F21+F26</f>
        <v>704833.33333333337</v>
      </c>
      <c r="G27" s="39">
        <f t="shared" si="12"/>
        <v>671500</v>
      </c>
      <c r="H27" s="39">
        <f t="shared" si="12"/>
        <v>214833.33333333334</v>
      </c>
      <c r="I27" s="39">
        <f t="shared" si="12"/>
        <v>214833.33333333334</v>
      </c>
      <c r="J27" s="39">
        <f t="shared" si="12"/>
        <v>204833.33333333334</v>
      </c>
      <c r="K27" s="39">
        <f t="shared" si="12"/>
        <v>204833.33333333334</v>
      </c>
      <c r="L27" s="39">
        <f t="shared" si="12"/>
        <v>214833.33333333334</v>
      </c>
      <c r="M27" s="39">
        <f t="shared" si="12"/>
        <v>204833.33333333334</v>
      </c>
      <c r="N27" s="39">
        <f t="shared" si="12"/>
        <v>204833.33333333334</v>
      </c>
      <c r="O27" s="39">
        <f t="shared" si="12"/>
        <v>214833.33333333334</v>
      </c>
      <c r="P27" s="39">
        <f t="shared" si="12"/>
        <v>204833.33333333334</v>
      </c>
      <c r="Q27" s="39">
        <f t="shared" si="12"/>
        <v>204833.33333333334</v>
      </c>
      <c r="R27" s="39">
        <f t="shared" si="12"/>
        <v>214833.33333333334</v>
      </c>
      <c r="S27" s="39">
        <f t="shared" si="12"/>
        <v>204833.33333333334</v>
      </c>
      <c r="T27" s="39">
        <f t="shared" si="12"/>
        <v>204833.33333333334</v>
      </c>
      <c r="U27" s="39">
        <f t="shared" si="12"/>
        <v>214833.33333333334</v>
      </c>
    </row>
    <row r="28" spans="1:22" x14ac:dyDescent="0.25">
      <c r="A28" s="36"/>
      <c r="B28" s="38"/>
      <c r="C28" s="37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</row>
    <row r="29" spans="1:22" x14ac:dyDescent="0.25">
      <c r="A29" s="36"/>
      <c r="B29" s="38" t="s">
        <v>50</v>
      </c>
      <c r="C29" s="37" t="s">
        <v>88</v>
      </c>
      <c r="D29" s="40"/>
      <c r="E29" s="40"/>
      <c r="F29" s="40"/>
      <c r="G29" s="39">
        <f t="shared" ref="G29:U29" si="13">G6-G11-G21</f>
        <v>-671500</v>
      </c>
      <c r="H29" s="39">
        <f t="shared" si="13"/>
        <v>-93500</v>
      </c>
      <c r="I29" s="39">
        <f t="shared" si="13"/>
        <v>-51500</v>
      </c>
      <c r="J29" s="39">
        <f t="shared" si="13"/>
        <v>1648500</v>
      </c>
      <c r="K29" s="39">
        <f t="shared" si="13"/>
        <v>88500</v>
      </c>
      <c r="L29" s="39">
        <f t="shared" si="13"/>
        <v>78500</v>
      </c>
      <c r="M29" s="39">
        <f t="shared" si="13"/>
        <v>88500</v>
      </c>
      <c r="N29" s="39">
        <f t="shared" si="13"/>
        <v>88500</v>
      </c>
      <c r="O29" s="39">
        <f t="shared" si="13"/>
        <v>78500</v>
      </c>
      <c r="P29" s="39">
        <f t="shared" si="13"/>
        <v>88500</v>
      </c>
      <c r="Q29" s="39">
        <f t="shared" si="13"/>
        <v>88500</v>
      </c>
      <c r="R29" s="39">
        <f t="shared" si="13"/>
        <v>78500</v>
      </c>
      <c r="S29" s="39">
        <f t="shared" si="13"/>
        <v>88500</v>
      </c>
      <c r="T29" s="39">
        <f t="shared" si="13"/>
        <v>88500</v>
      </c>
      <c r="U29" s="39">
        <f t="shared" si="13"/>
        <v>78500</v>
      </c>
    </row>
    <row r="30" spans="1:22" x14ac:dyDescent="0.25">
      <c r="A30" s="36"/>
      <c r="B30" s="38" t="s">
        <v>71</v>
      </c>
      <c r="C30" s="37" t="s">
        <v>88</v>
      </c>
      <c r="D30" s="40"/>
      <c r="E30" s="40"/>
      <c r="F30" s="40"/>
      <c r="G30" s="39">
        <f>G29-G26</f>
        <v>-671500</v>
      </c>
      <c r="H30" s="39">
        <f>H29-H26</f>
        <v>-136833.33333333334</v>
      </c>
      <c r="I30" s="39">
        <f>I29-I26</f>
        <v>-84833.333333333343</v>
      </c>
      <c r="J30" s="39">
        <f>J29-J26</f>
        <v>1615166.6666666667</v>
      </c>
      <c r="K30" s="39">
        <f>K29-K26</f>
        <v>55166.666666666664</v>
      </c>
      <c r="L30" s="39">
        <f t="shared" ref="L30:U30" si="14">L29-L26</f>
        <v>45166.666666666664</v>
      </c>
      <c r="M30" s="39">
        <f t="shared" si="14"/>
        <v>55166.666666666664</v>
      </c>
      <c r="N30" s="39">
        <f t="shared" si="14"/>
        <v>55166.666666666664</v>
      </c>
      <c r="O30" s="39">
        <f t="shared" si="14"/>
        <v>45166.666666666664</v>
      </c>
      <c r="P30" s="39">
        <f t="shared" si="14"/>
        <v>55166.666666666664</v>
      </c>
      <c r="Q30" s="39">
        <f t="shared" si="14"/>
        <v>55166.666666666664</v>
      </c>
      <c r="R30" s="39">
        <f t="shared" si="14"/>
        <v>45166.666666666664</v>
      </c>
      <c r="S30" s="39">
        <f t="shared" si="14"/>
        <v>55166.666666666664</v>
      </c>
      <c r="T30" s="39">
        <f t="shared" si="14"/>
        <v>55166.666666666664</v>
      </c>
      <c r="U30" s="39">
        <f t="shared" si="14"/>
        <v>45166.666666666664</v>
      </c>
    </row>
    <row r="31" spans="1:22" x14ac:dyDescent="0.25">
      <c r="A31" s="1"/>
      <c r="B31" s="140" t="s">
        <v>52</v>
      </c>
      <c r="C31" s="141"/>
      <c r="D31" s="141"/>
      <c r="E31" s="141"/>
      <c r="F31" s="142"/>
      <c r="G31" s="53">
        <f>IRR(G30:U30)</f>
        <v>0.29104771001935537</v>
      </c>
      <c r="H31" s="54"/>
      <c r="I31" s="54"/>
      <c r="J31" s="54"/>
      <c r="K31" s="54"/>
      <c r="L31" s="54"/>
      <c r="M31" s="54"/>
      <c r="N31" s="54"/>
      <c r="O31" s="54"/>
      <c r="P31" s="54"/>
    </row>
    <row r="32" spans="1:22" x14ac:dyDescent="0.25">
      <c r="A32" s="1"/>
      <c r="B32" s="140" t="s">
        <v>53</v>
      </c>
      <c r="C32" s="141"/>
      <c r="D32" s="141"/>
      <c r="E32" s="141"/>
      <c r="F32" s="142"/>
      <c r="G32" s="55">
        <f>NPV(0.1,G30:U30)</f>
        <v>545169.28029643523</v>
      </c>
      <c r="H32" s="54"/>
      <c r="I32" s="54"/>
      <c r="J32" s="54"/>
      <c r="K32" s="54"/>
      <c r="L32" s="54"/>
      <c r="M32" s="54"/>
      <c r="N32" s="54"/>
      <c r="O32" s="54"/>
      <c r="P32" s="54"/>
    </row>
    <row r="33" spans="1:21" x14ac:dyDescent="0.25">
      <c r="A33" s="1"/>
      <c r="B33" s="50"/>
      <c r="C33" s="51"/>
      <c r="D33" s="51"/>
      <c r="E33" s="51"/>
      <c r="F33" s="52"/>
      <c r="G33" s="55"/>
      <c r="H33" s="54"/>
      <c r="I33" s="54"/>
      <c r="J33" s="54"/>
      <c r="K33" s="54"/>
      <c r="L33" s="54"/>
      <c r="M33" s="54"/>
      <c r="N33" s="54"/>
      <c r="O33" s="54"/>
      <c r="P33" s="54"/>
    </row>
    <row r="34" spans="1:21" x14ac:dyDescent="0.25">
      <c r="A34" s="36"/>
      <c r="B34" s="36"/>
      <c r="C34" s="36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</row>
    <row r="35" spans="1:21" x14ac:dyDescent="0.25">
      <c r="A35" s="36"/>
      <c r="B35" s="143" t="s">
        <v>54</v>
      </c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</row>
    <row r="36" spans="1:21" x14ac:dyDescent="0.25">
      <c r="A36" s="36"/>
      <c r="B36" s="37"/>
      <c r="C36" s="38" t="s">
        <v>19</v>
      </c>
      <c r="D36" s="39" t="s">
        <v>20</v>
      </c>
      <c r="E36" s="39" t="s">
        <v>21</v>
      </c>
      <c r="F36" s="39" t="s">
        <v>22</v>
      </c>
      <c r="G36" s="144" t="s">
        <v>23</v>
      </c>
      <c r="H36" s="145"/>
      <c r="I36" s="145"/>
      <c r="J36" s="145"/>
      <c r="K36" s="145"/>
      <c r="L36" s="145"/>
      <c r="M36" s="145"/>
      <c r="N36" s="145"/>
      <c r="O36" s="145"/>
      <c r="P36" s="145"/>
    </row>
    <row r="37" spans="1:21" x14ac:dyDescent="0.25">
      <c r="A37" s="36"/>
      <c r="B37" s="38" t="s">
        <v>24</v>
      </c>
      <c r="C37" s="37"/>
      <c r="D37" s="40"/>
      <c r="E37" s="40"/>
      <c r="F37" s="40"/>
      <c r="G37" s="40">
        <v>1</v>
      </c>
      <c r="H37" s="40">
        <f t="shared" ref="H37:P37" si="15">G37+1</f>
        <v>2</v>
      </c>
      <c r="I37" s="40">
        <f t="shared" si="15"/>
        <v>3</v>
      </c>
      <c r="J37" s="40">
        <f t="shared" si="15"/>
        <v>4</v>
      </c>
      <c r="K37" s="40">
        <f t="shared" si="15"/>
        <v>5</v>
      </c>
      <c r="L37" s="40">
        <f t="shared" si="15"/>
        <v>6</v>
      </c>
      <c r="M37" s="40">
        <f t="shared" si="15"/>
        <v>7</v>
      </c>
      <c r="N37" s="40">
        <f t="shared" si="15"/>
        <v>8</v>
      </c>
      <c r="O37" s="40">
        <f t="shared" si="15"/>
        <v>9</v>
      </c>
      <c r="P37" s="40">
        <f t="shared" si="15"/>
        <v>10</v>
      </c>
      <c r="Q37">
        <v>11</v>
      </c>
      <c r="R37">
        <v>12</v>
      </c>
      <c r="S37">
        <v>13</v>
      </c>
      <c r="T37">
        <v>14</v>
      </c>
      <c r="U37">
        <v>15</v>
      </c>
    </row>
    <row r="38" spans="1:21" ht="35.25" customHeight="1" x14ac:dyDescent="0.25">
      <c r="A38" s="36"/>
      <c r="B38" s="61" t="s">
        <v>80</v>
      </c>
      <c r="C38" s="37" t="s">
        <v>36</v>
      </c>
      <c r="D38" s="40">
        <f>D4</f>
        <v>1300</v>
      </c>
      <c r="E38" s="40">
        <f>E4</f>
        <v>200</v>
      </c>
      <c r="F38" s="40">
        <f>F4*0.9</f>
        <v>0</v>
      </c>
      <c r="G38" s="40">
        <f>F38</f>
        <v>0</v>
      </c>
      <c r="H38" s="40">
        <f>H4*0.9</f>
        <v>70200</v>
      </c>
      <c r="I38" s="40">
        <f>I4*0.9</f>
        <v>117000</v>
      </c>
      <c r="J38" s="40">
        <f>J4*0.9</f>
        <v>1638000</v>
      </c>
      <c r="K38" s="40">
        <f t="shared" ref="K38:U38" si="16">K4*0.9</f>
        <v>234000</v>
      </c>
      <c r="L38" s="40">
        <f t="shared" si="16"/>
        <v>234000</v>
      </c>
      <c r="M38" s="40">
        <f t="shared" si="16"/>
        <v>234000</v>
      </c>
      <c r="N38" s="40">
        <f t="shared" si="16"/>
        <v>234000</v>
      </c>
      <c r="O38" s="40">
        <f t="shared" si="16"/>
        <v>234000</v>
      </c>
      <c r="P38" s="40">
        <f t="shared" si="16"/>
        <v>234000</v>
      </c>
      <c r="Q38" s="40">
        <f t="shared" si="16"/>
        <v>234000</v>
      </c>
      <c r="R38" s="40">
        <f t="shared" si="16"/>
        <v>234000</v>
      </c>
      <c r="S38" s="40">
        <f t="shared" si="16"/>
        <v>234000</v>
      </c>
      <c r="T38" s="40">
        <f t="shared" si="16"/>
        <v>234000</v>
      </c>
      <c r="U38" s="40">
        <f t="shared" si="16"/>
        <v>234000</v>
      </c>
    </row>
    <row r="39" spans="1:21" x14ac:dyDescent="0.25">
      <c r="A39" s="36"/>
      <c r="B39" s="62" t="s">
        <v>115</v>
      </c>
      <c r="C39" s="37" t="s">
        <v>36</v>
      </c>
      <c r="D39" s="40"/>
      <c r="E39" s="40"/>
      <c r="F39" s="40">
        <f>F5*0.9</f>
        <v>0</v>
      </c>
      <c r="G39" s="40">
        <f>F39</f>
        <v>0</v>
      </c>
      <c r="H39" s="40">
        <f>G39</f>
        <v>0</v>
      </c>
      <c r="I39" s="40">
        <f>H39</f>
        <v>0</v>
      </c>
      <c r="J39" s="40">
        <f>I39</f>
        <v>0</v>
      </c>
      <c r="K39" s="40">
        <f t="shared" ref="K39:U39" si="17">J39</f>
        <v>0</v>
      </c>
      <c r="L39" s="40">
        <f t="shared" si="17"/>
        <v>0</v>
      </c>
      <c r="M39" s="40">
        <f t="shared" si="17"/>
        <v>0</v>
      </c>
      <c r="N39" s="40">
        <f t="shared" si="17"/>
        <v>0</v>
      </c>
      <c r="O39" s="40">
        <f t="shared" si="17"/>
        <v>0</v>
      </c>
      <c r="P39" s="40">
        <f t="shared" si="17"/>
        <v>0</v>
      </c>
      <c r="Q39" s="40">
        <f t="shared" si="17"/>
        <v>0</v>
      </c>
      <c r="R39" s="40">
        <f t="shared" si="17"/>
        <v>0</v>
      </c>
      <c r="S39" s="40">
        <f t="shared" si="17"/>
        <v>0</v>
      </c>
      <c r="T39" s="40">
        <f t="shared" si="17"/>
        <v>0</v>
      </c>
      <c r="U39" s="40">
        <f t="shared" si="17"/>
        <v>0</v>
      </c>
    </row>
    <row r="40" spans="1:21" x14ac:dyDescent="0.25">
      <c r="A40" s="36"/>
      <c r="B40" s="62"/>
      <c r="C40" s="37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</row>
    <row r="41" spans="1:21" x14ac:dyDescent="0.25">
      <c r="A41" s="36"/>
      <c r="B41" s="38" t="s">
        <v>30</v>
      </c>
      <c r="C41" s="37"/>
      <c r="D41" s="40">
        <f>D6</f>
        <v>0</v>
      </c>
      <c r="E41" s="40">
        <f>E6*0.9</f>
        <v>0</v>
      </c>
      <c r="F41" s="39">
        <f>SUM(F38:F40)</f>
        <v>0</v>
      </c>
      <c r="G41" s="39">
        <f t="shared" ref="G41:U41" si="18">SUM(G38:G40)</f>
        <v>0</v>
      </c>
      <c r="H41" s="39">
        <f t="shared" si="18"/>
        <v>70200</v>
      </c>
      <c r="I41" s="39">
        <f t="shared" si="18"/>
        <v>117000</v>
      </c>
      <c r="J41" s="39">
        <f t="shared" si="18"/>
        <v>1638000</v>
      </c>
      <c r="K41" s="39">
        <f t="shared" si="18"/>
        <v>234000</v>
      </c>
      <c r="L41" s="39">
        <f t="shared" si="18"/>
        <v>234000</v>
      </c>
      <c r="M41" s="39">
        <f t="shared" si="18"/>
        <v>234000</v>
      </c>
      <c r="N41" s="39">
        <f t="shared" si="18"/>
        <v>234000</v>
      </c>
      <c r="O41" s="39">
        <f t="shared" si="18"/>
        <v>234000</v>
      </c>
      <c r="P41" s="39">
        <f t="shared" si="18"/>
        <v>234000</v>
      </c>
      <c r="Q41" s="39">
        <f t="shared" si="18"/>
        <v>234000</v>
      </c>
      <c r="R41" s="39">
        <f t="shared" si="18"/>
        <v>234000</v>
      </c>
      <c r="S41" s="39">
        <f t="shared" si="18"/>
        <v>234000</v>
      </c>
      <c r="T41" s="39">
        <f t="shared" si="18"/>
        <v>234000</v>
      </c>
      <c r="U41" s="39">
        <f t="shared" si="18"/>
        <v>234000</v>
      </c>
    </row>
    <row r="42" spans="1:21" x14ac:dyDescent="0.25">
      <c r="A42" s="36"/>
      <c r="B42" s="37"/>
      <c r="C42" s="37"/>
      <c r="D42" s="40">
        <f>D7</f>
        <v>0</v>
      </c>
      <c r="E42" s="40">
        <f>E7*0.9</f>
        <v>0</v>
      </c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</row>
    <row r="43" spans="1:21" x14ac:dyDescent="0.25">
      <c r="A43" s="36"/>
      <c r="B43" s="43" t="s">
        <v>31</v>
      </c>
      <c r="C43" s="37"/>
      <c r="D43" s="40">
        <f>D8</f>
        <v>0</v>
      </c>
      <c r="E43" s="40">
        <f>E8*0.9</f>
        <v>0</v>
      </c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</row>
    <row r="44" spans="1:21" x14ac:dyDescent="0.25">
      <c r="A44" s="36"/>
      <c r="B44" s="38" t="s">
        <v>32</v>
      </c>
      <c r="C44" s="37"/>
      <c r="D44" s="40">
        <f>D9</f>
        <v>0</v>
      </c>
      <c r="E44" s="40">
        <f>E9*0.9</f>
        <v>0</v>
      </c>
      <c r="F44" s="44"/>
      <c r="G44" s="40"/>
      <c r="H44" s="40"/>
      <c r="I44" s="40"/>
      <c r="J44" s="40"/>
      <c r="K44" s="40"/>
      <c r="L44" s="40"/>
      <c r="M44" s="40"/>
      <c r="N44" s="40"/>
      <c r="O44" s="40"/>
      <c r="P44" s="40"/>
    </row>
    <row r="45" spans="1:21" x14ac:dyDescent="0.25">
      <c r="A45" s="36"/>
      <c r="B45" s="63" t="s">
        <v>81</v>
      </c>
      <c r="C45" s="37" t="s">
        <v>34</v>
      </c>
      <c r="D45" s="40">
        <f>D10</f>
        <v>1</v>
      </c>
      <c r="E45" s="40">
        <f>E10*1.2</f>
        <v>600000</v>
      </c>
      <c r="F45" s="40">
        <f>D45*E45</f>
        <v>600000</v>
      </c>
      <c r="G45" s="40">
        <f>D45*E45</f>
        <v>600000</v>
      </c>
      <c r="H45" s="40">
        <v>0</v>
      </c>
      <c r="I45" s="40">
        <v>0</v>
      </c>
      <c r="J45" s="40">
        <v>0</v>
      </c>
      <c r="K45" s="40"/>
      <c r="L45" s="40"/>
      <c r="M45" s="40"/>
      <c r="N45" s="40"/>
      <c r="O45" s="40"/>
      <c r="P45" s="40">
        <f>K45</f>
        <v>0</v>
      </c>
    </row>
    <row r="46" spans="1:21" x14ac:dyDescent="0.25">
      <c r="A46" s="36"/>
      <c r="B46" s="63"/>
      <c r="C46" s="37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</row>
    <row r="47" spans="1:21" x14ac:dyDescent="0.25">
      <c r="A47" s="36"/>
      <c r="B47" s="38" t="s">
        <v>37</v>
      </c>
      <c r="C47" s="37"/>
      <c r="D47" s="40">
        <f>D11</f>
        <v>0</v>
      </c>
      <c r="E47" s="40">
        <f>E11*0.9</f>
        <v>0</v>
      </c>
      <c r="F47" s="39">
        <f t="shared" ref="F47:K47" si="19">SUM(F45:F46)</f>
        <v>600000</v>
      </c>
      <c r="G47" s="39">
        <f t="shared" si="19"/>
        <v>600000</v>
      </c>
      <c r="H47" s="39">
        <f t="shared" si="19"/>
        <v>0</v>
      </c>
      <c r="I47" s="39">
        <f t="shared" si="19"/>
        <v>0</v>
      </c>
      <c r="J47" s="39">
        <f t="shared" si="19"/>
        <v>0</v>
      </c>
      <c r="K47" s="39">
        <f t="shared" si="19"/>
        <v>0</v>
      </c>
      <c r="L47" s="39">
        <f t="shared" ref="L47:U47" si="20">SUM(L45:L46)</f>
        <v>0</v>
      </c>
      <c r="M47" s="39">
        <f t="shared" si="20"/>
        <v>0</v>
      </c>
      <c r="N47" s="39">
        <f t="shared" si="20"/>
        <v>0</v>
      </c>
      <c r="O47" s="39">
        <f t="shared" si="20"/>
        <v>0</v>
      </c>
      <c r="P47" s="39">
        <f t="shared" si="20"/>
        <v>0</v>
      </c>
      <c r="Q47" s="39">
        <f t="shared" si="20"/>
        <v>0</v>
      </c>
      <c r="R47" s="39">
        <f t="shared" si="20"/>
        <v>0</v>
      </c>
      <c r="S47" s="39">
        <f t="shared" si="20"/>
        <v>0</v>
      </c>
      <c r="T47" s="39">
        <f t="shared" si="20"/>
        <v>0</v>
      </c>
      <c r="U47" s="39">
        <f t="shared" si="20"/>
        <v>0</v>
      </c>
    </row>
    <row r="48" spans="1:21" x14ac:dyDescent="0.25">
      <c r="A48" s="36"/>
      <c r="B48" s="37"/>
      <c r="C48" s="37"/>
      <c r="D48" s="40">
        <f>D12</f>
        <v>0</v>
      </c>
      <c r="E48" s="40">
        <f>E12*0.9</f>
        <v>0</v>
      </c>
      <c r="F48" s="40">
        <f t="shared" ref="F48:F49" si="21">D48*E48</f>
        <v>0</v>
      </c>
      <c r="G48" s="40"/>
      <c r="H48" s="40"/>
      <c r="I48" s="40"/>
      <c r="J48" s="40"/>
      <c r="K48" s="40"/>
      <c r="L48" s="40"/>
      <c r="M48" s="40"/>
      <c r="N48" s="40"/>
      <c r="O48" s="40"/>
      <c r="P48" s="40"/>
    </row>
    <row r="49" spans="1:22" x14ac:dyDescent="0.25">
      <c r="A49" s="36"/>
      <c r="B49" s="38" t="s">
        <v>38</v>
      </c>
      <c r="C49" s="37"/>
      <c r="D49" s="40">
        <f>D13</f>
        <v>0</v>
      </c>
      <c r="E49" s="40">
        <f>E13*0.9</f>
        <v>0</v>
      </c>
      <c r="F49" s="40">
        <f t="shared" si="21"/>
        <v>0</v>
      </c>
      <c r="G49" s="40"/>
      <c r="H49" s="40"/>
      <c r="I49" s="40"/>
      <c r="J49" s="40"/>
      <c r="K49" s="40"/>
      <c r="L49" s="40"/>
      <c r="M49" s="40"/>
      <c r="N49" s="40"/>
      <c r="O49" s="40"/>
      <c r="P49" s="40"/>
    </row>
    <row r="50" spans="1:22" x14ac:dyDescent="0.25">
      <c r="A50" s="36"/>
      <c r="B50" s="64" t="s">
        <v>237</v>
      </c>
      <c r="C50" s="37" t="s">
        <v>40</v>
      </c>
      <c r="D50" s="40"/>
      <c r="E50" s="40"/>
      <c r="F50" s="40">
        <f>F14*0.9</f>
        <v>6300</v>
      </c>
      <c r="G50" s="40">
        <f t="shared" ref="G50:U55" si="22">F50</f>
        <v>6300</v>
      </c>
      <c r="H50" s="40">
        <f t="shared" si="22"/>
        <v>6300</v>
      </c>
      <c r="I50" s="40">
        <f t="shared" si="22"/>
        <v>6300</v>
      </c>
      <c r="J50" s="40">
        <f t="shared" si="22"/>
        <v>6300</v>
      </c>
      <c r="K50" s="40">
        <f t="shared" si="22"/>
        <v>6300</v>
      </c>
      <c r="L50" s="40">
        <f t="shared" si="22"/>
        <v>6300</v>
      </c>
      <c r="M50" s="40">
        <f t="shared" si="22"/>
        <v>6300</v>
      </c>
      <c r="N50" s="40">
        <f t="shared" si="22"/>
        <v>6300</v>
      </c>
      <c r="O50" s="40">
        <f t="shared" si="22"/>
        <v>6300</v>
      </c>
      <c r="P50" s="40">
        <f t="shared" si="22"/>
        <v>6300</v>
      </c>
      <c r="Q50" s="40">
        <f t="shared" si="22"/>
        <v>6300</v>
      </c>
      <c r="R50" s="40">
        <f t="shared" si="22"/>
        <v>6300</v>
      </c>
      <c r="S50" s="40">
        <f t="shared" si="22"/>
        <v>6300</v>
      </c>
      <c r="T50" s="40">
        <f t="shared" si="22"/>
        <v>6300</v>
      </c>
      <c r="U50" s="40">
        <f t="shared" si="22"/>
        <v>6300</v>
      </c>
    </row>
    <row r="51" spans="1:22" x14ac:dyDescent="0.25">
      <c r="A51" s="36"/>
      <c r="B51" s="65" t="s">
        <v>7</v>
      </c>
      <c r="C51" s="37" t="s">
        <v>40</v>
      </c>
      <c r="D51" s="40"/>
      <c r="E51" s="40"/>
      <c r="F51" s="40">
        <f>F15*0.9</f>
        <v>135000</v>
      </c>
      <c r="G51" s="40">
        <f t="shared" si="22"/>
        <v>135000</v>
      </c>
      <c r="H51" s="40">
        <f t="shared" si="22"/>
        <v>135000</v>
      </c>
      <c r="I51" s="40">
        <f t="shared" si="22"/>
        <v>135000</v>
      </c>
      <c r="J51" s="40">
        <f t="shared" si="22"/>
        <v>135000</v>
      </c>
      <c r="K51" s="40">
        <f t="shared" si="22"/>
        <v>135000</v>
      </c>
      <c r="L51" s="40">
        <f t="shared" si="22"/>
        <v>135000</v>
      </c>
      <c r="M51" s="40">
        <f t="shared" si="22"/>
        <v>135000</v>
      </c>
      <c r="N51" s="40">
        <f t="shared" si="22"/>
        <v>135000</v>
      </c>
      <c r="O51" s="40">
        <f t="shared" si="22"/>
        <v>135000</v>
      </c>
      <c r="P51" s="40">
        <f t="shared" si="22"/>
        <v>135000</v>
      </c>
      <c r="Q51" s="40">
        <f t="shared" si="22"/>
        <v>135000</v>
      </c>
      <c r="R51" s="40">
        <f t="shared" si="22"/>
        <v>135000</v>
      </c>
      <c r="S51" s="40">
        <f t="shared" si="22"/>
        <v>135000</v>
      </c>
      <c r="T51" s="40">
        <f t="shared" si="22"/>
        <v>135000</v>
      </c>
      <c r="U51" s="40">
        <f t="shared" si="22"/>
        <v>135000</v>
      </c>
      <c r="V51" s="46"/>
    </row>
    <row r="52" spans="1:22" x14ac:dyDescent="0.25">
      <c r="A52" s="36"/>
      <c r="B52" s="45" t="s">
        <v>41</v>
      </c>
      <c r="C52" s="37" t="s">
        <v>40</v>
      </c>
      <c r="D52" s="40"/>
      <c r="E52" s="40"/>
      <c r="F52" s="40">
        <f>F16</f>
        <v>0</v>
      </c>
      <c r="G52" s="40">
        <f>F52</f>
        <v>0</v>
      </c>
      <c r="H52" s="40">
        <f>F52</f>
        <v>0</v>
      </c>
      <c r="I52" s="40">
        <f t="shared" si="22"/>
        <v>0</v>
      </c>
      <c r="J52" s="40">
        <f t="shared" si="22"/>
        <v>0</v>
      </c>
      <c r="K52" s="40">
        <f t="shared" si="22"/>
        <v>0</v>
      </c>
      <c r="L52" s="40">
        <f t="shared" si="22"/>
        <v>0</v>
      </c>
      <c r="M52" s="40">
        <f t="shared" si="22"/>
        <v>0</v>
      </c>
      <c r="N52" s="40">
        <f t="shared" si="22"/>
        <v>0</v>
      </c>
      <c r="O52" s="40">
        <f t="shared" si="22"/>
        <v>0</v>
      </c>
      <c r="P52" s="40">
        <f t="shared" si="22"/>
        <v>0</v>
      </c>
      <c r="Q52" s="40">
        <f t="shared" si="22"/>
        <v>0</v>
      </c>
      <c r="R52" s="40">
        <f t="shared" si="22"/>
        <v>0</v>
      </c>
      <c r="S52" s="40">
        <f t="shared" si="22"/>
        <v>0</v>
      </c>
      <c r="T52" s="40">
        <f t="shared" si="22"/>
        <v>0</v>
      </c>
      <c r="U52" s="40">
        <f t="shared" si="22"/>
        <v>0</v>
      </c>
      <c r="V52" s="46"/>
    </row>
    <row r="53" spans="1:22" x14ac:dyDescent="0.25">
      <c r="A53" s="36"/>
      <c r="B53" s="45" t="s">
        <v>83</v>
      </c>
      <c r="C53" s="37" t="s">
        <v>40</v>
      </c>
      <c r="D53" s="40"/>
      <c r="E53" s="40"/>
      <c r="F53" s="40">
        <f>F17*0.8</f>
        <v>4480</v>
      </c>
      <c r="G53" s="40">
        <f>F53</f>
        <v>4480</v>
      </c>
      <c r="H53" s="40">
        <f>F53</f>
        <v>4480</v>
      </c>
      <c r="I53" s="40">
        <f>F53</f>
        <v>4480</v>
      </c>
      <c r="J53" s="40">
        <f>F53</f>
        <v>4480</v>
      </c>
      <c r="K53" s="40">
        <f>J53</f>
        <v>4480</v>
      </c>
      <c r="L53" s="40">
        <f t="shared" si="22"/>
        <v>4480</v>
      </c>
      <c r="M53" s="40">
        <f t="shared" si="22"/>
        <v>4480</v>
      </c>
      <c r="N53" s="40">
        <f t="shared" si="22"/>
        <v>4480</v>
      </c>
      <c r="O53" s="40">
        <f t="shared" si="22"/>
        <v>4480</v>
      </c>
      <c r="P53" s="40">
        <f t="shared" si="22"/>
        <v>4480</v>
      </c>
      <c r="Q53" s="40">
        <f t="shared" si="22"/>
        <v>4480</v>
      </c>
      <c r="R53" s="40">
        <f t="shared" si="22"/>
        <v>4480</v>
      </c>
      <c r="S53" s="40">
        <f t="shared" si="22"/>
        <v>4480</v>
      </c>
      <c r="T53" s="40">
        <f t="shared" si="22"/>
        <v>4480</v>
      </c>
      <c r="U53" s="40">
        <f t="shared" si="22"/>
        <v>4480</v>
      </c>
    </row>
    <row r="54" spans="1:22" x14ac:dyDescent="0.25">
      <c r="A54" s="36"/>
      <c r="B54" s="45"/>
      <c r="C54" s="37"/>
      <c r="D54" s="40"/>
      <c r="E54" s="40"/>
      <c r="F54" s="40"/>
      <c r="G54" s="40">
        <f>F54</f>
        <v>0</v>
      </c>
      <c r="H54" s="40">
        <f t="shared" ref="H54:H55" si="23">F54</f>
        <v>0</v>
      </c>
      <c r="I54" s="40">
        <f t="shared" ref="I54:I55" si="24">F54</f>
        <v>0</v>
      </c>
      <c r="J54" s="40">
        <f t="shared" ref="J54:J55" si="25">F54</f>
        <v>0</v>
      </c>
      <c r="K54" s="40">
        <f>J54</f>
        <v>0</v>
      </c>
      <c r="L54" s="40">
        <f t="shared" si="22"/>
        <v>0</v>
      </c>
      <c r="M54" s="40">
        <f t="shared" si="22"/>
        <v>0</v>
      </c>
      <c r="N54" s="40">
        <f t="shared" si="22"/>
        <v>0</v>
      </c>
      <c r="O54" s="40">
        <f t="shared" si="22"/>
        <v>0</v>
      </c>
      <c r="P54" s="40">
        <f t="shared" si="22"/>
        <v>0</v>
      </c>
      <c r="Q54" s="40">
        <f t="shared" si="22"/>
        <v>0</v>
      </c>
      <c r="R54" s="40">
        <f t="shared" si="22"/>
        <v>0</v>
      </c>
      <c r="S54" s="40">
        <f t="shared" si="22"/>
        <v>0</v>
      </c>
      <c r="T54" s="40">
        <f t="shared" si="22"/>
        <v>0</v>
      </c>
      <c r="U54" s="40">
        <f t="shared" si="22"/>
        <v>0</v>
      </c>
    </row>
    <row r="55" spans="1:22" x14ac:dyDescent="0.25">
      <c r="A55" s="36"/>
      <c r="B55" s="45" t="s">
        <v>84</v>
      </c>
      <c r="C55" s="37" t="s">
        <v>40</v>
      </c>
      <c r="D55" s="40"/>
      <c r="E55" s="40"/>
      <c r="F55" s="40">
        <f>F19*0.9</f>
        <v>8010</v>
      </c>
      <c r="G55" s="40">
        <f>F55</f>
        <v>8010</v>
      </c>
      <c r="H55" s="40">
        <f t="shared" si="23"/>
        <v>8010</v>
      </c>
      <c r="I55" s="40">
        <f t="shared" si="24"/>
        <v>8010</v>
      </c>
      <c r="J55" s="40">
        <f t="shared" si="25"/>
        <v>8010</v>
      </c>
      <c r="K55" s="40">
        <f>J55</f>
        <v>8010</v>
      </c>
      <c r="L55" s="40">
        <f t="shared" si="22"/>
        <v>8010</v>
      </c>
      <c r="M55" s="40">
        <f t="shared" si="22"/>
        <v>8010</v>
      </c>
      <c r="N55" s="40">
        <f t="shared" si="22"/>
        <v>8010</v>
      </c>
      <c r="O55" s="40">
        <f t="shared" si="22"/>
        <v>8010</v>
      </c>
      <c r="P55" s="40">
        <f t="shared" si="22"/>
        <v>8010</v>
      </c>
      <c r="Q55" s="40">
        <f t="shared" si="22"/>
        <v>8010</v>
      </c>
      <c r="R55" s="40">
        <f t="shared" si="22"/>
        <v>8010</v>
      </c>
      <c r="S55" s="40">
        <f t="shared" si="22"/>
        <v>8010</v>
      </c>
      <c r="T55" s="40">
        <f t="shared" si="22"/>
        <v>8010</v>
      </c>
      <c r="U55" s="40">
        <f t="shared" si="22"/>
        <v>8010</v>
      </c>
    </row>
    <row r="56" spans="1:22" x14ac:dyDescent="0.25">
      <c r="A56" s="36"/>
      <c r="B56" s="38" t="s">
        <v>44</v>
      </c>
      <c r="C56" s="37"/>
      <c r="D56" s="40">
        <f>D21</f>
        <v>0</v>
      </c>
      <c r="E56" s="40"/>
      <c r="F56" s="39">
        <f>SUM(F50:F55)</f>
        <v>153790</v>
      </c>
      <c r="G56" s="39">
        <f t="shared" ref="G56:U56" si="26">SUM(G50:G55)</f>
        <v>153790</v>
      </c>
      <c r="H56" s="39">
        <f t="shared" si="26"/>
        <v>153790</v>
      </c>
      <c r="I56" s="39">
        <f t="shared" si="26"/>
        <v>153790</v>
      </c>
      <c r="J56" s="39">
        <f t="shared" si="26"/>
        <v>153790</v>
      </c>
      <c r="K56" s="39">
        <f t="shared" si="26"/>
        <v>153790</v>
      </c>
      <c r="L56" s="39">
        <f t="shared" si="26"/>
        <v>153790</v>
      </c>
      <c r="M56" s="39">
        <f t="shared" si="26"/>
        <v>153790</v>
      </c>
      <c r="N56" s="39">
        <f t="shared" si="26"/>
        <v>153790</v>
      </c>
      <c r="O56" s="39">
        <f t="shared" si="26"/>
        <v>153790</v>
      </c>
      <c r="P56" s="39">
        <f t="shared" si="26"/>
        <v>153790</v>
      </c>
      <c r="Q56" s="39">
        <f t="shared" si="26"/>
        <v>153790</v>
      </c>
      <c r="R56" s="39">
        <f t="shared" si="26"/>
        <v>153790</v>
      </c>
      <c r="S56" s="39">
        <f t="shared" si="26"/>
        <v>153790</v>
      </c>
      <c r="T56" s="39">
        <f t="shared" si="26"/>
        <v>153790</v>
      </c>
      <c r="U56" s="39">
        <f t="shared" si="26"/>
        <v>153790</v>
      </c>
    </row>
    <row r="57" spans="1:22" x14ac:dyDescent="0.25">
      <c r="A57" s="36"/>
      <c r="B57" s="47"/>
      <c r="C57" s="37"/>
      <c r="D57" s="40">
        <f>D22</f>
        <v>0</v>
      </c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</row>
    <row r="58" spans="1:22" x14ac:dyDescent="0.25">
      <c r="A58" s="36"/>
      <c r="B58" s="38" t="s">
        <v>45</v>
      </c>
      <c r="C58" s="37"/>
      <c r="D58" s="40">
        <f>D23</f>
        <v>0</v>
      </c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</row>
    <row r="59" spans="1:22" x14ac:dyDescent="0.25">
      <c r="A59" s="36"/>
      <c r="B59" s="37" t="s">
        <v>46</v>
      </c>
      <c r="C59" s="37" t="s">
        <v>88</v>
      </c>
      <c r="D59" s="40">
        <f>D24</f>
        <v>1</v>
      </c>
      <c r="E59" s="40"/>
      <c r="F59" s="40">
        <f>D59*E59</f>
        <v>0</v>
      </c>
      <c r="G59" s="40">
        <v>0</v>
      </c>
      <c r="H59" s="40">
        <f>D59*E59</f>
        <v>0</v>
      </c>
      <c r="I59" s="40">
        <f t="shared" ref="I59:U59" si="27">H59</f>
        <v>0</v>
      </c>
      <c r="J59" s="40">
        <f t="shared" si="27"/>
        <v>0</v>
      </c>
      <c r="K59" s="40">
        <f t="shared" si="27"/>
        <v>0</v>
      </c>
      <c r="L59" s="40">
        <f t="shared" si="27"/>
        <v>0</v>
      </c>
      <c r="M59" s="40">
        <f t="shared" si="27"/>
        <v>0</v>
      </c>
      <c r="N59" s="40">
        <f t="shared" si="27"/>
        <v>0</v>
      </c>
      <c r="O59" s="40">
        <f t="shared" si="27"/>
        <v>0</v>
      </c>
      <c r="P59" s="40">
        <f t="shared" si="27"/>
        <v>0</v>
      </c>
      <c r="Q59" s="40">
        <f t="shared" si="27"/>
        <v>0</v>
      </c>
      <c r="R59" s="40">
        <f t="shared" si="27"/>
        <v>0</v>
      </c>
      <c r="S59" s="40">
        <f t="shared" si="27"/>
        <v>0</v>
      </c>
      <c r="T59" s="40">
        <f t="shared" si="27"/>
        <v>0</v>
      </c>
      <c r="U59" s="40">
        <f t="shared" si="27"/>
        <v>0</v>
      </c>
      <c r="V59" s="48">
        <f>SUM(H59:U59)</f>
        <v>0</v>
      </c>
    </row>
    <row r="60" spans="1:22" x14ac:dyDescent="0.25">
      <c r="A60" s="36"/>
      <c r="B60" s="38" t="s">
        <v>48</v>
      </c>
      <c r="C60" s="37"/>
      <c r="D60" s="40"/>
      <c r="E60" s="40"/>
      <c r="F60" s="39">
        <f t="shared" ref="F60:U60" si="28">SUM(F59:F59)</f>
        <v>0</v>
      </c>
      <c r="G60" s="39">
        <f t="shared" si="28"/>
        <v>0</v>
      </c>
      <c r="H60" s="39">
        <f t="shared" si="28"/>
        <v>0</v>
      </c>
      <c r="I60" s="39">
        <f t="shared" si="28"/>
        <v>0</v>
      </c>
      <c r="J60" s="39">
        <f t="shared" si="28"/>
        <v>0</v>
      </c>
      <c r="K60" s="39">
        <f t="shared" si="28"/>
        <v>0</v>
      </c>
      <c r="L60" s="39">
        <f t="shared" si="28"/>
        <v>0</v>
      </c>
      <c r="M60" s="39">
        <f t="shared" si="28"/>
        <v>0</v>
      </c>
      <c r="N60" s="39">
        <f t="shared" si="28"/>
        <v>0</v>
      </c>
      <c r="O60" s="39">
        <f t="shared" si="28"/>
        <v>0</v>
      </c>
      <c r="P60" s="39">
        <f t="shared" si="28"/>
        <v>0</v>
      </c>
      <c r="Q60" s="39">
        <f t="shared" si="28"/>
        <v>0</v>
      </c>
      <c r="R60" s="39">
        <f t="shared" si="28"/>
        <v>0</v>
      </c>
      <c r="S60" s="39">
        <f t="shared" si="28"/>
        <v>0</v>
      </c>
      <c r="T60" s="39">
        <f t="shared" si="28"/>
        <v>0</v>
      </c>
      <c r="U60" s="39">
        <f t="shared" si="28"/>
        <v>0</v>
      </c>
    </row>
    <row r="61" spans="1:22" x14ac:dyDescent="0.25">
      <c r="A61" s="36"/>
      <c r="B61" s="38" t="s">
        <v>49</v>
      </c>
      <c r="C61" s="37"/>
      <c r="D61" s="40"/>
      <c r="E61" s="40"/>
      <c r="F61" s="39">
        <f t="shared" ref="F61:U61" si="29">F47+F56+F60</f>
        <v>753790</v>
      </c>
      <c r="G61" s="39">
        <f t="shared" si="29"/>
        <v>753790</v>
      </c>
      <c r="H61" s="39">
        <f t="shared" si="29"/>
        <v>153790</v>
      </c>
      <c r="I61" s="39">
        <f t="shared" si="29"/>
        <v>153790</v>
      </c>
      <c r="J61" s="39">
        <f t="shared" si="29"/>
        <v>153790</v>
      </c>
      <c r="K61" s="39">
        <f t="shared" si="29"/>
        <v>153790</v>
      </c>
      <c r="L61" s="39">
        <f t="shared" si="29"/>
        <v>153790</v>
      </c>
      <c r="M61" s="39">
        <f t="shared" si="29"/>
        <v>153790</v>
      </c>
      <c r="N61" s="39">
        <f t="shared" si="29"/>
        <v>153790</v>
      </c>
      <c r="O61" s="39">
        <f t="shared" si="29"/>
        <v>153790</v>
      </c>
      <c r="P61" s="39">
        <f t="shared" si="29"/>
        <v>153790</v>
      </c>
      <c r="Q61" s="39">
        <f t="shared" si="29"/>
        <v>153790</v>
      </c>
      <c r="R61" s="39">
        <f t="shared" si="29"/>
        <v>153790</v>
      </c>
      <c r="S61" s="39">
        <f t="shared" si="29"/>
        <v>153790</v>
      </c>
      <c r="T61" s="39">
        <f t="shared" si="29"/>
        <v>153790</v>
      </c>
      <c r="U61" s="39">
        <f t="shared" si="29"/>
        <v>153790</v>
      </c>
    </row>
    <row r="62" spans="1:22" x14ac:dyDescent="0.25">
      <c r="A62" s="36"/>
      <c r="B62" s="38"/>
      <c r="C62" s="37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</row>
    <row r="63" spans="1:22" x14ac:dyDescent="0.25">
      <c r="A63" s="36"/>
      <c r="B63" s="38" t="s">
        <v>50</v>
      </c>
      <c r="C63" s="37" t="s">
        <v>47</v>
      </c>
      <c r="D63" s="40"/>
      <c r="E63" s="40"/>
      <c r="F63" s="40"/>
      <c r="G63" s="39">
        <f t="shared" ref="G63:U63" si="30">G41-G47-G56</f>
        <v>-753790</v>
      </c>
      <c r="H63" s="39">
        <f t="shared" si="30"/>
        <v>-83590</v>
      </c>
      <c r="I63" s="39">
        <f t="shared" si="30"/>
        <v>-36790</v>
      </c>
      <c r="J63" s="39">
        <f t="shared" si="30"/>
        <v>1484210</v>
      </c>
      <c r="K63" s="39">
        <f t="shared" si="30"/>
        <v>80210</v>
      </c>
      <c r="L63" s="39">
        <f t="shared" si="30"/>
        <v>80210</v>
      </c>
      <c r="M63" s="39">
        <f t="shared" si="30"/>
        <v>80210</v>
      </c>
      <c r="N63" s="39">
        <f t="shared" si="30"/>
        <v>80210</v>
      </c>
      <c r="O63" s="39">
        <f t="shared" si="30"/>
        <v>80210</v>
      </c>
      <c r="P63" s="39">
        <f t="shared" si="30"/>
        <v>80210</v>
      </c>
      <c r="Q63" s="39">
        <f t="shared" si="30"/>
        <v>80210</v>
      </c>
      <c r="R63" s="39">
        <f t="shared" si="30"/>
        <v>80210</v>
      </c>
      <c r="S63" s="39">
        <f t="shared" si="30"/>
        <v>80210</v>
      </c>
      <c r="T63" s="39">
        <f t="shared" si="30"/>
        <v>80210</v>
      </c>
      <c r="U63" s="39">
        <f t="shared" si="30"/>
        <v>80210</v>
      </c>
    </row>
    <row r="64" spans="1:22" x14ac:dyDescent="0.25">
      <c r="A64" s="36"/>
      <c r="B64" s="38" t="s">
        <v>51</v>
      </c>
      <c r="C64" s="37" t="s">
        <v>47</v>
      </c>
      <c r="D64" s="40"/>
      <c r="E64" s="40"/>
      <c r="F64" s="40"/>
      <c r="G64" s="39">
        <f>G63-G60</f>
        <v>-753790</v>
      </c>
      <c r="H64" s="39">
        <f>H63-H60</f>
        <v>-83590</v>
      </c>
      <c r="I64" s="39">
        <f>I63-I60</f>
        <v>-36790</v>
      </c>
      <c r="J64" s="39">
        <f>J63-J60</f>
        <v>1484210</v>
      </c>
      <c r="K64" s="39">
        <f>K63-K60</f>
        <v>80210</v>
      </c>
      <c r="L64" s="39">
        <f t="shared" ref="L64:U64" si="31">L63-L60</f>
        <v>80210</v>
      </c>
      <c r="M64" s="39">
        <f t="shared" si="31"/>
        <v>80210</v>
      </c>
      <c r="N64" s="39">
        <f t="shared" si="31"/>
        <v>80210</v>
      </c>
      <c r="O64" s="39">
        <f t="shared" si="31"/>
        <v>80210</v>
      </c>
      <c r="P64" s="39">
        <f t="shared" si="31"/>
        <v>80210</v>
      </c>
      <c r="Q64" s="39">
        <f t="shared" si="31"/>
        <v>80210</v>
      </c>
      <c r="R64" s="39">
        <f t="shared" si="31"/>
        <v>80210</v>
      </c>
      <c r="S64" s="39">
        <f t="shared" si="31"/>
        <v>80210</v>
      </c>
      <c r="T64" s="39">
        <f t="shared" si="31"/>
        <v>80210</v>
      </c>
      <c r="U64" s="39">
        <f t="shared" si="31"/>
        <v>80210</v>
      </c>
    </row>
    <row r="65" spans="1:16" x14ac:dyDescent="0.25">
      <c r="A65" s="1"/>
      <c r="B65" s="140" t="s">
        <v>58</v>
      </c>
      <c r="C65" s="141"/>
      <c r="D65" s="141"/>
      <c r="E65" s="141"/>
      <c r="F65" s="142"/>
      <c r="G65" s="53">
        <f>IRR(G64:U64)</f>
        <v>0.27723132433572384</v>
      </c>
      <c r="H65" s="54"/>
      <c r="I65" s="54"/>
      <c r="J65" s="54"/>
      <c r="K65" s="54"/>
      <c r="L65" s="54"/>
      <c r="M65" s="54"/>
      <c r="N65" s="54"/>
      <c r="O65" s="54"/>
      <c r="P65" s="54"/>
    </row>
    <row r="66" spans="1:16" x14ac:dyDescent="0.25">
      <c r="A66" s="1"/>
      <c r="B66" s="140" t="s">
        <v>59</v>
      </c>
      <c r="C66" s="141"/>
      <c r="D66" s="141"/>
      <c r="E66" s="141"/>
      <c r="F66" s="142"/>
      <c r="G66" s="55">
        <f>NPV(0.1,G64:U64)</f>
        <v>587576.97781980352</v>
      </c>
      <c r="H66" s="54"/>
      <c r="I66" s="54"/>
      <c r="J66" s="54"/>
      <c r="K66" s="54"/>
      <c r="L66" s="54"/>
      <c r="M66" s="54"/>
      <c r="N66" s="54"/>
      <c r="O66" s="54"/>
      <c r="P66" s="54"/>
    </row>
  </sheetData>
  <mergeCells count="8">
    <mergeCell ref="B65:F65"/>
    <mergeCell ref="B66:F66"/>
    <mergeCell ref="B1:P1"/>
    <mergeCell ref="G2:P2"/>
    <mergeCell ref="B31:F31"/>
    <mergeCell ref="B32:F32"/>
    <mergeCell ref="B35:P35"/>
    <mergeCell ref="G36:P3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FE8BF-2215-4684-B6D0-B2F4EF63FC32}">
  <dimension ref="A1:V73"/>
  <sheetViews>
    <sheetView topLeftCell="A36" workbookViewId="0">
      <selection activeCell="C60" sqref="C60"/>
    </sheetView>
  </sheetViews>
  <sheetFormatPr defaultColWidth="15.7109375" defaultRowHeight="15" x14ac:dyDescent="0.25"/>
  <cols>
    <col min="2" max="2" width="26.85546875" customWidth="1"/>
  </cols>
  <sheetData>
    <row r="1" spans="1:21" x14ac:dyDescent="0.25">
      <c r="A1" s="36"/>
      <c r="B1" s="143" t="s">
        <v>18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</row>
    <row r="2" spans="1:21" x14ac:dyDescent="0.25">
      <c r="A2" s="36"/>
      <c r="B2" s="37"/>
      <c r="C2" s="38" t="s">
        <v>19</v>
      </c>
      <c r="D2" s="39" t="s">
        <v>20</v>
      </c>
      <c r="E2" s="39" t="s">
        <v>21</v>
      </c>
      <c r="F2" s="39" t="s">
        <v>22</v>
      </c>
      <c r="G2" s="144" t="s">
        <v>23</v>
      </c>
      <c r="H2" s="145"/>
      <c r="I2" s="145"/>
      <c r="J2" s="145"/>
      <c r="K2" s="145"/>
      <c r="L2" s="145"/>
      <c r="M2" s="145"/>
      <c r="N2" s="145"/>
      <c r="O2" s="145"/>
      <c r="P2" s="145"/>
    </row>
    <row r="3" spans="1:21" x14ac:dyDescent="0.25">
      <c r="A3" s="36"/>
      <c r="B3" s="38" t="s">
        <v>24</v>
      </c>
      <c r="C3" s="37"/>
      <c r="D3" s="40"/>
      <c r="E3" s="40"/>
      <c r="F3" s="40"/>
      <c r="G3" s="40">
        <v>1</v>
      </c>
      <c r="H3" s="40">
        <f t="shared" ref="H3:P3" si="0">G3+1</f>
        <v>2</v>
      </c>
      <c r="I3" s="40">
        <f t="shared" si="0"/>
        <v>3</v>
      </c>
      <c r="J3" s="40">
        <f t="shared" si="0"/>
        <v>4</v>
      </c>
      <c r="K3" s="40">
        <f t="shared" si="0"/>
        <v>5</v>
      </c>
      <c r="L3" s="40">
        <f t="shared" si="0"/>
        <v>6</v>
      </c>
      <c r="M3" s="40">
        <f t="shared" si="0"/>
        <v>7</v>
      </c>
      <c r="N3" s="40">
        <f t="shared" si="0"/>
        <v>8</v>
      </c>
      <c r="O3" s="40">
        <f t="shared" si="0"/>
        <v>9</v>
      </c>
      <c r="P3" s="40">
        <f t="shared" si="0"/>
        <v>10</v>
      </c>
      <c r="Q3">
        <v>11</v>
      </c>
      <c r="R3">
        <v>12</v>
      </c>
      <c r="S3">
        <v>13</v>
      </c>
      <c r="T3">
        <v>14</v>
      </c>
      <c r="U3">
        <v>15</v>
      </c>
    </row>
    <row r="4" spans="1:21" ht="35.25" customHeight="1" x14ac:dyDescent="0.25">
      <c r="A4" s="36"/>
      <c r="B4" s="61" t="s">
        <v>3</v>
      </c>
      <c r="C4" s="37" t="s">
        <v>73</v>
      </c>
      <c r="D4" s="40">
        <v>10000</v>
      </c>
      <c r="E4" s="40">
        <v>520</v>
      </c>
      <c r="F4" s="40">
        <f>D4*E4</f>
        <v>5200000</v>
      </c>
      <c r="G4" s="40">
        <f>F4*0.3</f>
        <v>1560000</v>
      </c>
      <c r="H4" s="40">
        <f>F4*0.2</f>
        <v>1040000</v>
      </c>
      <c r="I4" s="40">
        <f>F4</f>
        <v>5200000</v>
      </c>
      <c r="J4" s="40">
        <f>F4</f>
        <v>5200000</v>
      </c>
      <c r="K4" s="40">
        <f t="shared" ref="K4:U4" si="1">J4</f>
        <v>5200000</v>
      </c>
      <c r="L4" s="40">
        <f t="shared" si="1"/>
        <v>5200000</v>
      </c>
      <c r="M4" s="40">
        <f t="shared" si="1"/>
        <v>5200000</v>
      </c>
      <c r="N4" s="40">
        <f t="shared" si="1"/>
        <v>5200000</v>
      </c>
      <c r="O4" s="40">
        <f t="shared" si="1"/>
        <v>5200000</v>
      </c>
      <c r="P4" s="40">
        <f t="shared" si="1"/>
        <v>5200000</v>
      </c>
      <c r="Q4" s="40">
        <f t="shared" si="1"/>
        <v>5200000</v>
      </c>
      <c r="R4" s="40">
        <f t="shared" si="1"/>
        <v>5200000</v>
      </c>
      <c r="S4" s="40">
        <f t="shared" si="1"/>
        <v>5200000</v>
      </c>
      <c r="T4" s="40">
        <f t="shared" si="1"/>
        <v>5200000</v>
      </c>
      <c r="U4" s="40">
        <f t="shared" si="1"/>
        <v>5200000</v>
      </c>
    </row>
    <row r="5" spans="1:21" x14ac:dyDescent="0.25">
      <c r="A5" s="36"/>
      <c r="B5" s="62"/>
      <c r="C5" s="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</row>
    <row r="6" spans="1:21" x14ac:dyDescent="0.25">
      <c r="A6" s="36"/>
      <c r="B6" s="38" t="s">
        <v>30</v>
      </c>
      <c r="C6" s="37"/>
      <c r="D6" s="40"/>
      <c r="E6" s="40"/>
      <c r="F6" s="39">
        <f t="shared" ref="F6:U6" si="2">SUM(F4:F5)</f>
        <v>5200000</v>
      </c>
      <c r="G6" s="39">
        <f t="shared" si="2"/>
        <v>1560000</v>
      </c>
      <c r="H6" s="39">
        <f t="shared" si="2"/>
        <v>1040000</v>
      </c>
      <c r="I6" s="39">
        <f t="shared" si="2"/>
        <v>5200000</v>
      </c>
      <c r="J6" s="39">
        <f t="shared" si="2"/>
        <v>5200000</v>
      </c>
      <c r="K6" s="39">
        <f t="shared" si="2"/>
        <v>5200000</v>
      </c>
      <c r="L6" s="39">
        <f t="shared" si="2"/>
        <v>5200000</v>
      </c>
      <c r="M6" s="39">
        <f t="shared" si="2"/>
        <v>5200000</v>
      </c>
      <c r="N6" s="39">
        <f t="shared" si="2"/>
        <v>5200000</v>
      </c>
      <c r="O6" s="39">
        <f t="shared" si="2"/>
        <v>5200000</v>
      </c>
      <c r="P6" s="39">
        <f t="shared" si="2"/>
        <v>5200000</v>
      </c>
      <c r="Q6" s="39">
        <f t="shared" si="2"/>
        <v>5200000</v>
      </c>
      <c r="R6" s="39">
        <f t="shared" si="2"/>
        <v>5200000</v>
      </c>
      <c r="S6" s="39">
        <f t="shared" si="2"/>
        <v>5200000</v>
      </c>
      <c r="T6" s="39">
        <f t="shared" si="2"/>
        <v>5200000</v>
      </c>
      <c r="U6" s="39">
        <f t="shared" si="2"/>
        <v>5200000</v>
      </c>
    </row>
    <row r="7" spans="1:21" x14ac:dyDescent="0.25">
      <c r="A7" s="36"/>
      <c r="B7" s="37"/>
      <c r="C7" s="37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</row>
    <row r="8" spans="1:21" x14ac:dyDescent="0.25">
      <c r="A8" s="36"/>
      <c r="B8" s="43" t="s">
        <v>31</v>
      </c>
      <c r="C8" s="37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</row>
    <row r="9" spans="1:21" x14ac:dyDescent="0.25">
      <c r="A9" s="36"/>
      <c r="B9" s="38" t="s">
        <v>32</v>
      </c>
      <c r="C9" s="37"/>
      <c r="D9" s="40"/>
      <c r="E9" s="40"/>
      <c r="F9" s="44"/>
      <c r="G9" s="40"/>
      <c r="H9" s="40"/>
      <c r="I9" s="40"/>
      <c r="J9" s="40"/>
      <c r="K9" s="40"/>
      <c r="L9" s="40"/>
      <c r="M9" s="40"/>
      <c r="N9" s="40"/>
      <c r="O9" s="40"/>
      <c r="P9" s="40"/>
    </row>
    <row r="10" spans="1:21" x14ac:dyDescent="0.25">
      <c r="A10" s="36"/>
      <c r="B10" s="63" t="s">
        <v>74</v>
      </c>
      <c r="C10" s="37" t="s">
        <v>36</v>
      </c>
      <c r="D10" s="40">
        <v>10</v>
      </c>
      <c r="E10" s="40">
        <v>100000</v>
      </c>
      <c r="F10" s="40">
        <f>D10*E10</f>
        <v>1000000</v>
      </c>
      <c r="G10" s="40">
        <f>D10*E10</f>
        <v>1000000</v>
      </c>
      <c r="H10" s="40">
        <f>G10</f>
        <v>1000000</v>
      </c>
      <c r="I10" s="40">
        <v>0</v>
      </c>
      <c r="J10" s="40">
        <v>0</v>
      </c>
      <c r="K10" s="40"/>
      <c r="L10" s="40">
        <f>G10</f>
        <v>1000000</v>
      </c>
      <c r="M10" s="40"/>
      <c r="N10" s="40"/>
      <c r="O10" s="40">
        <f>L10</f>
        <v>1000000</v>
      </c>
      <c r="P10" s="40">
        <f>K10</f>
        <v>0</v>
      </c>
      <c r="T10" s="48">
        <f>O10</f>
        <v>1000000</v>
      </c>
      <c r="U10" s="48"/>
    </row>
    <row r="11" spans="1:21" x14ac:dyDescent="0.25">
      <c r="A11" s="36"/>
      <c r="B11" s="63" t="s">
        <v>67</v>
      </c>
      <c r="C11" s="37" t="s">
        <v>36</v>
      </c>
      <c r="D11" s="40">
        <v>1</v>
      </c>
      <c r="E11" s="40">
        <v>50000</v>
      </c>
      <c r="F11" s="40">
        <f t="shared" ref="F11:F20" si="3">D11*E11</f>
        <v>50000</v>
      </c>
      <c r="G11" s="40">
        <f>D11*E11</f>
        <v>50000</v>
      </c>
      <c r="H11" s="40">
        <v>0</v>
      </c>
      <c r="I11" s="40">
        <v>0</v>
      </c>
      <c r="J11" s="40">
        <v>0</v>
      </c>
      <c r="K11" s="40">
        <v>0</v>
      </c>
      <c r="L11" s="40"/>
      <c r="M11" s="40"/>
      <c r="N11" s="40"/>
      <c r="O11" s="40"/>
      <c r="P11" s="40"/>
    </row>
    <row r="12" spans="1:21" x14ac:dyDescent="0.25">
      <c r="A12" s="36"/>
      <c r="B12" s="38" t="s">
        <v>37</v>
      </c>
      <c r="C12" s="37"/>
      <c r="D12" s="40"/>
      <c r="E12" s="40"/>
      <c r="F12" s="39">
        <f t="shared" ref="F12:K12" si="4">SUM(F10:F11)</f>
        <v>1050000</v>
      </c>
      <c r="G12" s="39">
        <f t="shared" si="4"/>
        <v>1050000</v>
      </c>
      <c r="H12" s="39">
        <f t="shared" si="4"/>
        <v>1000000</v>
      </c>
      <c r="I12" s="39">
        <f t="shared" si="4"/>
        <v>0</v>
      </c>
      <c r="J12" s="39">
        <f t="shared" si="4"/>
        <v>0</v>
      </c>
      <c r="K12" s="39">
        <f t="shared" si="4"/>
        <v>0</v>
      </c>
      <c r="L12" s="39"/>
      <c r="M12" s="39">
        <f t="shared" ref="M12:U12" si="5">SUM(M10:M11)</f>
        <v>0</v>
      </c>
      <c r="N12" s="39">
        <f t="shared" si="5"/>
        <v>0</v>
      </c>
      <c r="O12" s="39"/>
      <c r="P12" s="39">
        <f t="shared" si="5"/>
        <v>0</v>
      </c>
      <c r="Q12" s="39"/>
      <c r="R12" s="39">
        <f t="shared" si="5"/>
        <v>0</v>
      </c>
      <c r="S12" s="39">
        <f t="shared" si="5"/>
        <v>0</v>
      </c>
      <c r="T12" s="39">
        <f t="shared" si="5"/>
        <v>1000000</v>
      </c>
      <c r="U12" s="39">
        <f t="shared" si="5"/>
        <v>0</v>
      </c>
    </row>
    <row r="13" spans="1:21" x14ac:dyDescent="0.25">
      <c r="A13" s="36"/>
      <c r="B13" s="37"/>
      <c r="C13" s="37"/>
      <c r="D13" s="40"/>
      <c r="E13" s="40"/>
      <c r="F13" s="40">
        <f t="shared" si="3"/>
        <v>0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</row>
    <row r="14" spans="1:21" x14ac:dyDescent="0.25">
      <c r="A14" s="36"/>
      <c r="B14" s="38" t="s">
        <v>38</v>
      </c>
      <c r="C14" s="37"/>
      <c r="D14" s="40"/>
      <c r="E14" s="40"/>
      <c r="F14" s="40">
        <f t="shared" si="3"/>
        <v>0</v>
      </c>
      <c r="G14" s="40"/>
      <c r="H14" s="40"/>
      <c r="I14" s="40"/>
      <c r="J14" s="40"/>
      <c r="K14" s="40"/>
      <c r="L14" s="40"/>
      <c r="M14" s="40"/>
      <c r="N14" s="40"/>
      <c r="O14" s="40"/>
      <c r="P14" s="40"/>
    </row>
    <row r="15" spans="1:21" x14ac:dyDescent="0.25">
      <c r="B15" s="64" t="s">
        <v>75</v>
      </c>
      <c r="C15" s="37" t="s">
        <v>40</v>
      </c>
      <c r="D15" s="40"/>
      <c r="E15" s="40"/>
      <c r="F15" s="40">
        <f>E15</f>
        <v>0</v>
      </c>
      <c r="G15" s="40">
        <f>F15</f>
        <v>0</v>
      </c>
      <c r="H15" s="40">
        <f>F15</f>
        <v>0</v>
      </c>
      <c r="I15" s="40">
        <f t="shared" ref="I15:U20" si="6">H15</f>
        <v>0</v>
      </c>
      <c r="J15" s="40">
        <f t="shared" si="6"/>
        <v>0</v>
      </c>
      <c r="K15" s="40">
        <f t="shared" si="6"/>
        <v>0</v>
      </c>
      <c r="L15" s="40">
        <f t="shared" si="6"/>
        <v>0</v>
      </c>
      <c r="M15" s="40">
        <f t="shared" si="6"/>
        <v>0</v>
      </c>
      <c r="N15" s="40">
        <f t="shared" si="6"/>
        <v>0</v>
      </c>
      <c r="O15" s="40">
        <f t="shared" si="6"/>
        <v>0</v>
      </c>
      <c r="P15" s="40">
        <f t="shared" si="6"/>
        <v>0</v>
      </c>
      <c r="Q15" s="40">
        <f t="shared" si="6"/>
        <v>0</v>
      </c>
      <c r="R15" s="40">
        <f t="shared" si="6"/>
        <v>0</v>
      </c>
      <c r="S15" s="40">
        <f t="shared" si="6"/>
        <v>0</v>
      </c>
      <c r="T15" s="40">
        <f t="shared" si="6"/>
        <v>0</v>
      </c>
      <c r="U15" s="40">
        <f t="shared" si="6"/>
        <v>0</v>
      </c>
    </row>
    <row r="16" spans="1:21" x14ac:dyDescent="0.25">
      <c r="A16" s="36"/>
      <c r="B16" s="45" t="s">
        <v>41</v>
      </c>
      <c r="C16" s="37" t="s">
        <v>40</v>
      </c>
      <c r="D16" s="40">
        <v>2000</v>
      </c>
      <c r="E16" s="40">
        <v>900</v>
      </c>
      <c r="F16" s="40">
        <f>D16*E16</f>
        <v>1800000</v>
      </c>
      <c r="G16" s="40">
        <f>F16*0.75</f>
        <v>1350000</v>
      </c>
      <c r="H16" s="40">
        <f>F16</f>
        <v>1800000</v>
      </c>
      <c r="I16" s="40">
        <f>H16</f>
        <v>1800000</v>
      </c>
      <c r="J16" s="40">
        <f>I16</f>
        <v>1800000</v>
      </c>
      <c r="K16" s="40">
        <f t="shared" si="6"/>
        <v>1800000</v>
      </c>
      <c r="L16" s="40">
        <f t="shared" si="6"/>
        <v>1800000</v>
      </c>
      <c r="M16" s="40">
        <f t="shared" si="6"/>
        <v>1800000</v>
      </c>
      <c r="N16" s="40">
        <f t="shared" si="6"/>
        <v>1800000</v>
      </c>
      <c r="O16" s="40">
        <f t="shared" si="6"/>
        <v>1800000</v>
      </c>
      <c r="P16" s="40">
        <f t="shared" si="6"/>
        <v>1800000</v>
      </c>
      <c r="Q16" s="40">
        <f t="shared" si="6"/>
        <v>1800000</v>
      </c>
      <c r="R16" s="40">
        <f t="shared" si="6"/>
        <v>1800000</v>
      </c>
      <c r="S16" s="40">
        <f t="shared" si="6"/>
        <v>1800000</v>
      </c>
      <c r="T16" s="40">
        <f t="shared" si="6"/>
        <v>1800000</v>
      </c>
      <c r="U16" s="40">
        <f t="shared" si="6"/>
        <v>1800000</v>
      </c>
    </row>
    <row r="17" spans="1:22" x14ac:dyDescent="0.25">
      <c r="A17" s="36"/>
      <c r="B17" s="45" t="s">
        <v>76</v>
      </c>
      <c r="C17" s="37" t="s">
        <v>40</v>
      </c>
      <c r="D17" s="40">
        <v>12</v>
      </c>
      <c r="E17" s="40">
        <v>45000</v>
      </c>
      <c r="F17" s="40">
        <f t="shared" si="3"/>
        <v>540000</v>
      </c>
      <c r="G17" s="40">
        <f>F17</f>
        <v>540000</v>
      </c>
      <c r="H17" s="40">
        <f>D17*E17*1</f>
        <v>540000</v>
      </c>
      <c r="I17" s="40">
        <f>D17*E17*1</f>
        <v>540000</v>
      </c>
      <c r="J17" s="40">
        <f>D17*E17</f>
        <v>540000</v>
      </c>
      <c r="K17" s="40">
        <f t="shared" si="6"/>
        <v>540000</v>
      </c>
      <c r="L17" s="40">
        <f t="shared" si="6"/>
        <v>540000</v>
      </c>
      <c r="M17" s="40">
        <f t="shared" si="6"/>
        <v>540000</v>
      </c>
      <c r="N17" s="40">
        <f t="shared" si="6"/>
        <v>540000</v>
      </c>
      <c r="O17" s="40">
        <f t="shared" si="6"/>
        <v>540000</v>
      </c>
      <c r="P17" s="40">
        <f t="shared" si="6"/>
        <v>540000</v>
      </c>
      <c r="Q17" s="40">
        <f t="shared" si="6"/>
        <v>540000</v>
      </c>
      <c r="R17" s="40">
        <f t="shared" si="6"/>
        <v>540000</v>
      </c>
      <c r="S17" s="40">
        <f t="shared" si="6"/>
        <v>540000</v>
      </c>
      <c r="T17" s="40">
        <f t="shared" si="6"/>
        <v>540000</v>
      </c>
      <c r="U17" s="40">
        <f t="shared" si="6"/>
        <v>540000</v>
      </c>
      <c r="V17" s="46"/>
    </row>
    <row r="18" spans="1:22" x14ac:dyDescent="0.25">
      <c r="A18" s="36"/>
      <c r="B18" s="45" t="s">
        <v>224</v>
      </c>
      <c r="C18" s="37" t="s">
        <v>40</v>
      </c>
      <c r="D18" s="40">
        <v>12</v>
      </c>
      <c r="E18" s="40">
        <v>55000</v>
      </c>
      <c r="F18" s="40">
        <f t="shared" si="3"/>
        <v>660000</v>
      </c>
      <c r="G18" s="40">
        <f>F18</f>
        <v>660000</v>
      </c>
      <c r="H18" s="40">
        <f>F18</f>
        <v>660000</v>
      </c>
      <c r="I18" s="40">
        <f t="shared" ref="I18:P20" si="7">H18</f>
        <v>660000</v>
      </c>
      <c r="J18" s="40">
        <f t="shared" si="7"/>
        <v>660000</v>
      </c>
      <c r="K18" s="40">
        <f t="shared" si="7"/>
        <v>660000</v>
      </c>
      <c r="L18" s="40">
        <f t="shared" si="7"/>
        <v>660000</v>
      </c>
      <c r="M18" s="40">
        <f t="shared" si="7"/>
        <v>660000</v>
      </c>
      <c r="N18" s="40">
        <f t="shared" si="7"/>
        <v>660000</v>
      </c>
      <c r="O18" s="40">
        <f t="shared" si="7"/>
        <v>660000</v>
      </c>
      <c r="P18" s="40">
        <f t="shared" si="7"/>
        <v>660000</v>
      </c>
      <c r="Q18" s="40">
        <f t="shared" si="6"/>
        <v>660000</v>
      </c>
      <c r="R18" s="40">
        <f t="shared" si="6"/>
        <v>660000</v>
      </c>
      <c r="S18" s="40">
        <f t="shared" si="6"/>
        <v>660000</v>
      </c>
      <c r="T18" s="40">
        <f t="shared" si="6"/>
        <v>660000</v>
      </c>
      <c r="U18" s="40">
        <f t="shared" si="6"/>
        <v>660000</v>
      </c>
      <c r="V18" s="46"/>
    </row>
    <row r="19" spans="1:22" x14ac:dyDescent="0.25">
      <c r="A19" s="36"/>
      <c r="B19" s="45" t="s">
        <v>78</v>
      </c>
      <c r="C19" s="37" t="s">
        <v>40</v>
      </c>
      <c r="D19" s="40">
        <v>100</v>
      </c>
      <c r="E19" s="40">
        <v>1000</v>
      </c>
      <c r="F19" s="40">
        <f t="shared" si="3"/>
        <v>100000</v>
      </c>
      <c r="G19" s="40">
        <f t="shared" ref="G19:U20" si="8">F19</f>
        <v>100000</v>
      </c>
      <c r="H19" s="40">
        <f t="shared" si="8"/>
        <v>100000</v>
      </c>
      <c r="I19" s="40">
        <f t="shared" si="8"/>
        <v>100000</v>
      </c>
      <c r="J19" s="40">
        <f t="shared" si="8"/>
        <v>100000</v>
      </c>
      <c r="K19" s="40">
        <f t="shared" si="8"/>
        <v>100000</v>
      </c>
      <c r="L19" s="40">
        <f t="shared" si="8"/>
        <v>100000</v>
      </c>
      <c r="M19" s="40">
        <f t="shared" si="8"/>
        <v>100000</v>
      </c>
      <c r="N19" s="40">
        <f t="shared" si="8"/>
        <v>100000</v>
      </c>
      <c r="O19" s="40">
        <f t="shared" si="8"/>
        <v>100000</v>
      </c>
      <c r="P19" s="40">
        <f t="shared" si="8"/>
        <v>100000</v>
      </c>
      <c r="Q19" s="40">
        <f t="shared" si="8"/>
        <v>100000</v>
      </c>
      <c r="R19" s="40">
        <f t="shared" si="8"/>
        <v>100000</v>
      </c>
      <c r="S19" s="40">
        <f t="shared" si="8"/>
        <v>100000</v>
      </c>
      <c r="T19" s="40">
        <f t="shared" si="8"/>
        <v>100000</v>
      </c>
      <c r="U19" s="40">
        <f t="shared" si="8"/>
        <v>100000</v>
      </c>
      <c r="V19" s="46"/>
    </row>
    <row r="20" spans="1:22" x14ac:dyDescent="0.25">
      <c r="A20" s="36"/>
      <c r="B20" s="45" t="s">
        <v>222</v>
      </c>
      <c r="C20" s="37" t="s">
        <v>40</v>
      </c>
      <c r="D20" s="40">
        <v>1</v>
      </c>
      <c r="E20" s="40">
        <v>500000</v>
      </c>
      <c r="F20" s="40">
        <f t="shared" si="3"/>
        <v>500000</v>
      </c>
      <c r="G20" s="40">
        <f t="shared" si="8"/>
        <v>500000</v>
      </c>
      <c r="H20" s="40">
        <f>F20</f>
        <v>500000</v>
      </c>
      <c r="I20" s="40">
        <f>F20</f>
        <v>500000</v>
      </c>
      <c r="J20" s="40">
        <f>F20</f>
        <v>500000</v>
      </c>
      <c r="K20" s="40">
        <f>J20</f>
        <v>500000</v>
      </c>
      <c r="L20" s="40">
        <f t="shared" si="7"/>
        <v>500000</v>
      </c>
      <c r="M20" s="40">
        <f t="shared" si="7"/>
        <v>500000</v>
      </c>
      <c r="N20" s="40">
        <f t="shared" si="7"/>
        <v>500000</v>
      </c>
      <c r="O20" s="40">
        <f t="shared" si="7"/>
        <v>500000</v>
      </c>
      <c r="P20" s="40">
        <f t="shared" si="7"/>
        <v>500000</v>
      </c>
      <c r="Q20" s="40">
        <f t="shared" si="6"/>
        <v>500000</v>
      </c>
      <c r="R20" s="40">
        <f t="shared" si="6"/>
        <v>500000</v>
      </c>
      <c r="S20" s="40">
        <f t="shared" si="6"/>
        <v>500000</v>
      </c>
      <c r="T20" s="40">
        <f t="shared" si="6"/>
        <v>500000</v>
      </c>
      <c r="U20" s="40">
        <f t="shared" si="6"/>
        <v>500000</v>
      </c>
    </row>
    <row r="21" spans="1:22" x14ac:dyDescent="0.25">
      <c r="A21" s="36"/>
      <c r="B21" s="38" t="s">
        <v>44</v>
      </c>
      <c r="C21" s="37"/>
      <c r="D21" s="40"/>
      <c r="E21" s="40"/>
      <c r="F21" s="39">
        <f>SUM(F15:F20)</f>
        <v>3600000</v>
      </c>
      <c r="G21" s="39">
        <f t="shared" ref="G21:U21" si="9">SUM(G15:G20)</f>
        <v>3150000</v>
      </c>
      <c r="H21" s="39">
        <f t="shared" si="9"/>
        <v>3600000</v>
      </c>
      <c r="I21" s="39">
        <f t="shared" si="9"/>
        <v>3600000</v>
      </c>
      <c r="J21" s="39">
        <f t="shared" si="9"/>
        <v>3600000</v>
      </c>
      <c r="K21" s="39">
        <f t="shared" si="9"/>
        <v>3600000</v>
      </c>
      <c r="L21" s="39">
        <f t="shared" si="9"/>
        <v>3600000</v>
      </c>
      <c r="M21" s="39">
        <f t="shared" si="9"/>
        <v>3600000</v>
      </c>
      <c r="N21" s="39">
        <f t="shared" si="9"/>
        <v>3600000</v>
      </c>
      <c r="O21" s="39">
        <f t="shared" si="9"/>
        <v>3600000</v>
      </c>
      <c r="P21" s="39">
        <f t="shared" si="9"/>
        <v>3600000</v>
      </c>
      <c r="Q21" s="39">
        <f t="shared" si="9"/>
        <v>3600000</v>
      </c>
      <c r="R21" s="39">
        <f t="shared" si="9"/>
        <v>3600000</v>
      </c>
      <c r="S21" s="39">
        <f t="shared" si="9"/>
        <v>3600000</v>
      </c>
      <c r="T21" s="39">
        <f t="shared" si="9"/>
        <v>3600000</v>
      </c>
      <c r="U21" s="39">
        <f t="shared" si="9"/>
        <v>3600000</v>
      </c>
    </row>
    <row r="22" spans="1:22" x14ac:dyDescent="0.25">
      <c r="A22" s="36"/>
      <c r="B22" s="47"/>
      <c r="C22" s="37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</row>
    <row r="23" spans="1:22" x14ac:dyDescent="0.25">
      <c r="A23" s="36"/>
      <c r="B23" s="38" t="s">
        <v>45</v>
      </c>
      <c r="C23" s="37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</row>
    <row r="24" spans="1:22" x14ac:dyDescent="0.25">
      <c r="A24" s="36"/>
      <c r="B24" s="37" t="s">
        <v>46</v>
      </c>
      <c r="C24" s="37" t="s">
        <v>47</v>
      </c>
      <c r="D24" s="40">
        <v>1</v>
      </c>
      <c r="E24" s="40">
        <f>E11/12</f>
        <v>4166.666666666667</v>
      </c>
      <c r="F24" s="40">
        <f>D24*E24</f>
        <v>4166.666666666667</v>
      </c>
      <c r="G24" s="40">
        <f>F24</f>
        <v>4166.666666666667</v>
      </c>
      <c r="H24" s="40">
        <f>D24*E24</f>
        <v>4166.666666666667</v>
      </c>
      <c r="I24" s="40">
        <f t="shared" ref="I24:U24" si="10">H24</f>
        <v>4166.666666666667</v>
      </c>
      <c r="J24" s="40">
        <f t="shared" si="10"/>
        <v>4166.666666666667</v>
      </c>
      <c r="K24" s="40">
        <f t="shared" si="10"/>
        <v>4166.666666666667</v>
      </c>
      <c r="L24" s="40">
        <f t="shared" si="10"/>
        <v>4166.666666666667</v>
      </c>
      <c r="M24" s="40">
        <f t="shared" si="10"/>
        <v>4166.666666666667</v>
      </c>
      <c r="N24" s="40">
        <f t="shared" si="10"/>
        <v>4166.666666666667</v>
      </c>
      <c r="O24" s="40">
        <f t="shared" si="10"/>
        <v>4166.666666666667</v>
      </c>
      <c r="P24" s="40">
        <f t="shared" si="10"/>
        <v>4166.666666666667</v>
      </c>
      <c r="Q24" s="40">
        <f t="shared" si="10"/>
        <v>4166.666666666667</v>
      </c>
      <c r="R24" s="40">
        <f t="shared" si="10"/>
        <v>4166.666666666667</v>
      </c>
      <c r="S24" s="40">
        <f t="shared" si="10"/>
        <v>4166.666666666667</v>
      </c>
      <c r="T24" s="40">
        <f t="shared" si="10"/>
        <v>4166.666666666667</v>
      </c>
      <c r="U24" s="40">
        <f t="shared" si="10"/>
        <v>4166.666666666667</v>
      </c>
      <c r="V24" s="48">
        <f>SUM(H24:U24)</f>
        <v>58333.333333333321</v>
      </c>
    </row>
    <row r="25" spans="1:22" x14ac:dyDescent="0.25">
      <c r="A25" s="36"/>
      <c r="B25" s="38" t="s">
        <v>48</v>
      </c>
      <c r="C25" s="37"/>
      <c r="D25" s="40"/>
      <c r="E25" s="40"/>
      <c r="F25" s="39">
        <f t="shared" ref="F25:U25" si="11">SUM(F24:F24)</f>
        <v>4166.666666666667</v>
      </c>
      <c r="G25" s="39">
        <f t="shared" si="11"/>
        <v>4166.666666666667</v>
      </c>
      <c r="H25" s="39">
        <f t="shared" si="11"/>
        <v>4166.666666666667</v>
      </c>
      <c r="I25" s="39">
        <f t="shared" si="11"/>
        <v>4166.666666666667</v>
      </c>
      <c r="J25" s="39">
        <f t="shared" si="11"/>
        <v>4166.666666666667</v>
      </c>
      <c r="K25" s="39">
        <f t="shared" si="11"/>
        <v>4166.666666666667</v>
      </c>
      <c r="L25" s="39">
        <f t="shared" si="11"/>
        <v>4166.666666666667</v>
      </c>
      <c r="M25" s="39">
        <f t="shared" si="11"/>
        <v>4166.666666666667</v>
      </c>
      <c r="N25" s="39">
        <f t="shared" si="11"/>
        <v>4166.666666666667</v>
      </c>
      <c r="O25" s="39">
        <f t="shared" si="11"/>
        <v>4166.666666666667</v>
      </c>
      <c r="P25" s="39">
        <f t="shared" si="11"/>
        <v>4166.666666666667</v>
      </c>
      <c r="Q25" s="39">
        <f t="shared" si="11"/>
        <v>4166.666666666667</v>
      </c>
      <c r="R25" s="39">
        <f t="shared" si="11"/>
        <v>4166.666666666667</v>
      </c>
      <c r="S25" s="39">
        <f t="shared" si="11"/>
        <v>4166.666666666667</v>
      </c>
      <c r="T25" s="39">
        <f t="shared" si="11"/>
        <v>4166.666666666667</v>
      </c>
      <c r="U25" s="39">
        <f t="shared" si="11"/>
        <v>4166.666666666667</v>
      </c>
    </row>
    <row r="26" spans="1:22" x14ac:dyDescent="0.25">
      <c r="A26" s="36"/>
      <c r="B26" s="38" t="s">
        <v>49</v>
      </c>
      <c r="C26" s="37"/>
      <c r="D26" s="40"/>
      <c r="E26" s="40"/>
      <c r="F26" s="39">
        <f t="shared" ref="F26:U26" si="12">F12+F21+F25</f>
        <v>4654166.666666667</v>
      </c>
      <c r="G26" s="39">
        <f t="shared" si="12"/>
        <v>4204166.666666667</v>
      </c>
      <c r="H26" s="39">
        <f t="shared" si="12"/>
        <v>4604166.666666667</v>
      </c>
      <c r="I26" s="39">
        <f t="shared" si="12"/>
        <v>3604166.6666666665</v>
      </c>
      <c r="J26" s="39">
        <f t="shared" si="12"/>
        <v>3604166.6666666665</v>
      </c>
      <c r="K26" s="39">
        <f t="shared" si="12"/>
        <v>3604166.6666666665</v>
      </c>
      <c r="L26" s="39">
        <f t="shared" si="12"/>
        <v>3604166.6666666665</v>
      </c>
      <c r="M26" s="39">
        <f t="shared" si="12"/>
        <v>3604166.6666666665</v>
      </c>
      <c r="N26" s="39">
        <f t="shared" si="12"/>
        <v>3604166.6666666665</v>
      </c>
      <c r="O26" s="39">
        <f t="shared" si="12"/>
        <v>3604166.6666666665</v>
      </c>
      <c r="P26" s="39">
        <f t="shared" si="12"/>
        <v>3604166.6666666665</v>
      </c>
      <c r="Q26" s="39">
        <f t="shared" si="12"/>
        <v>3604166.6666666665</v>
      </c>
      <c r="R26" s="39">
        <f t="shared" si="12"/>
        <v>3604166.6666666665</v>
      </c>
      <c r="S26" s="39">
        <f t="shared" si="12"/>
        <v>3604166.6666666665</v>
      </c>
      <c r="T26" s="39">
        <f t="shared" si="12"/>
        <v>4604166.666666667</v>
      </c>
      <c r="U26" s="39">
        <f t="shared" si="12"/>
        <v>3604166.6666666665</v>
      </c>
    </row>
    <row r="27" spans="1:22" x14ac:dyDescent="0.25">
      <c r="A27" s="36"/>
      <c r="B27" s="38"/>
      <c r="C27" s="37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</row>
    <row r="28" spans="1:22" x14ac:dyDescent="0.25">
      <c r="A28" s="36"/>
      <c r="B28" s="38" t="s">
        <v>50</v>
      </c>
      <c r="C28" s="37" t="s">
        <v>47</v>
      </c>
      <c r="D28" s="40"/>
      <c r="E28" s="40"/>
      <c r="F28" s="40"/>
      <c r="G28" s="39">
        <f t="shared" ref="G28:U28" si="13">G6-G12-G21</f>
        <v>-2640000</v>
      </c>
      <c r="H28" s="39">
        <f t="shared" si="13"/>
        <v>-3560000</v>
      </c>
      <c r="I28" s="39">
        <f t="shared" si="13"/>
        <v>1600000</v>
      </c>
      <c r="J28" s="39">
        <f t="shared" si="13"/>
        <v>1600000</v>
      </c>
      <c r="K28" s="39">
        <f t="shared" si="13"/>
        <v>1600000</v>
      </c>
      <c r="L28" s="39">
        <f t="shared" si="13"/>
        <v>1600000</v>
      </c>
      <c r="M28" s="39">
        <f t="shared" si="13"/>
        <v>1600000</v>
      </c>
      <c r="N28" s="39">
        <f t="shared" si="13"/>
        <v>1600000</v>
      </c>
      <c r="O28" s="39">
        <f t="shared" si="13"/>
        <v>1600000</v>
      </c>
      <c r="P28" s="39">
        <f t="shared" si="13"/>
        <v>1600000</v>
      </c>
      <c r="Q28" s="39">
        <f t="shared" si="13"/>
        <v>1600000</v>
      </c>
      <c r="R28" s="39">
        <f t="shared" si="13"/>
        <v>1600000</v>
      </c>
      <c r="S28" s="39">
        <f t="shared" si="13"/>
        <v>1600000</v>
      </c>
      <c r="T28" s="39">
        <f t="shared" si="13"/>
        <v>600000</v>
      </c>
      <c r="U28" s="39">
        <f t="shared" si="13"/>
        <v>1600000</v>
      </c>
    </row>
    <row r="29" spans="1:22" x14ac:dyDescent="0.25">
      <c r="A29" s="36"/>
      <c r="B29" s="38" t="s">
        <v>71</v>
      </c>
      <c r="C29" s="37" t="s">
        <v>47</v>
      </c>
      <c r="D29" s="40"/>
      <c r="E29" s="40"/>
      <c r="F29" s="40"/>
      <c r="G29" s="39">
        <f>G28-G25</f>
        <v>-2644166.6666666665</v>
      </c>
      <c r="H29" s="39">
        <f>(H28-H25)</f>
        <v>-3564166.6666666665</v>
      </c>
      <c r="I29" s="39">
        <f>(I28-I25)</f>
        <v>1595833.3333333333</v>
      </c>
      <c r="J29" s="39">
        <f>J28-J25</f>
        <v>1595833.3333333333</v>
      </c>
      <c r="K29" s="39">
        <f>K28-K25</f>
        <v>1595833.3333333333</v>
      </c>
      <c r="L29" s="39">
        <f t="shared" ref="L29:U29" si="14">L28-L25</f>
        <v>1595833.3333333333</v>
      </c>
      <c r="M29" s="39">
        <f t="shared" si="14"/>
        <v>1595833.3333333333</v>
      </c>
      <c r="N29" s="39">
        <f t="shared" si="14"/>
        <v>1595833.3333333333</v>
      </c>
      <c r="O29" s="39">
        <f t="shared" si="14"/>
        <v>1595833.3333333333</v>
      </c>
      <c r="P29" s="39">
        <f t="shared" si="14"/>
        <v>1595833.3333333333</v>
      </c>
      <c r="Q29" s="39">
        <f t="shared" si="14"/>
        <v>1595833.3333333333</v>
      </c>
      <c r="R29" s="39">
        <f t="shared" si="14"/>
        <v>1595833.3333333333</v>
      </c>
      <c r="S29" s="39">
        <f t="shared" si="14"/>
        <v>1595833.3333333333</v>
      </c>
      <c r="T29" s="39">
        <f t="shared" si="14"/>
        <v>595833.33333333337</v>
      </c>
      <c r="U29" s="39">
        <f t="shared" si="14"/>
        <v>1595833.3333333333</v>
      </c>
    </row>
    <row r="30" spans="1:22" x14ac:dyDescent="0.25">
      <c r="A30" s="1"/>
      <c r="B30" s="140" t="s">
        <v>52</v>
      </c>
      <c r="C30" s="141"/>
      <c r="D30" s="141"/>
      <c r="E30" s="141"/>
      <c r="F30" s="142"/>
      <c r="G30" s="53">
        <f>IRR(G29:U29)</f>
        <v>0.21348721463099651</v>
      </c>
      <c r="H30" s="54"/>
      <c r="I30" s="54"/>
      <c r="J30" s="54"/>
      <c r="K30" s="54"/>
      <c r="L30" s="54"/>
      <c r="M30" s="54"/>
      <c r="N30" s="54"/>
      <c r="O30" s="54"/>
      <c r="P30" s="54"/>
    </row>
    <row r="31" spans="1:22" x14ac:dyDescent="0.25">
      <c r="A31" s="1"/>
      <c r="B31" s="140" t="s">
        <v>53</v>
      </c>
      <c r="C31" s="141"/>
      <c r="D31" s="141"/>
      <c r="E31" s="141"/>
      <c r="F31" s="142"/>
      <c r="G31" s="55">
        <f>NPV(0.1,G29:U29)</f>
        <v>3755695.6933815335</v>
      </c>
      <c r="H31" s="54"/>
      <c r="I31" s="54"/>
      <c r="J31" s="54"/>
      <c r="K31" s="54"/>
      <c r="L31" s="54"/>
      <c r="M31" s="54"/>
      <c r="N31" s="54"/>
      <c r="O31" s="54"/>
      <c r="P31" s="54"/>
    </row>
    <row r="32" spans="1:22" x14ac:dyDescent="0.25">
      <c r="A32" s="1"/>
      <c r="B32" s="148"/>
      <c r="C32" s="148"/>
      <c r="D32" s="148"/>
      <c r="E32" s="148"/>
      <c r="F32" s="148"/>
      <c r="G32" s="56"/>
      <c r="H32" s="57"/>
      <c r="I32" s="57"/>
      <c r="J32" s="57"/>
      <c r="K32" s="57"/>
      <c r="L32" s="57"/>
      <c r="M32" s="57"/>
      <c r="N32" s="57"/>
      <c r="O32" s="57"/>
      <c r="P32" s="57"/>
    </row>
    <row r="33" spans="1:21" x14ac:dyDescent="0.25">
      <c r="A33" s="1"/>
      <c r="B33" s="148"/>
      <c r="C33" s="149"/>
      <c r="D33" s="149"/>
      <c r="E33" s="149"/>
      <c r="F33" s="149"/>
      <c r="G33" s="58"/>
      <c r="H33" s="57"/>
      <c r="I33" s="57"/>
      <c r="J33" s="57"/>
      <c r="K33" s="57"/>
      <c r="L33" s="57"/>
      <c r="M33" s="57"/>
      <c r="N33" s="57"/>
      <c r="O33" s="57"/>
      <c r="P33" s="57"/>
    </row>
    <row r="34" spans="1:21" x14ac:dyDescent="0.25">
      <c r="A34" s="1"/>
      <c r="B34" s="148"/>
      <c r="C34" s="149"/>
      <c r="D34" s="149"/>
      <c r="E34" s="149"/>
      <c r="F34" s="149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</row>
    <row r="35" spans="1:21" x14ac:dyDescent="0.25">
      <c r="A35" s="1"/>
      <c r="B35" s="146"/>
      <c r="C35" s="147"/>
      <c r="D35" s="147"/>
      <c r="E35" s="147"/>
      <c r="F35" s="147"/>
      <c r="G35" s="53"/>
      <c r="H35" s="57"/>
      <c r="I35" s="57"/>
      <c r="J35" s="57"/>
      <c r="K35" s="57"/>
      <c r="L35" s="57"/>
      <c r="M35" s="57"/>
      <c r="N35" s="57"/>
      <c r="O35" s="57"/>
      <c r="P35" s="57"/>
    </row>
    <row r="36" spans="1:21" x14ac:dyDescent="0.25">
      <c r="A36" s="1"/>
      <c r="B36" s="146"/>
      <c r="C36" s="147"/>
      <c r="D36" s="147"/>
      <c r="E36" s="147"/>
      <c r="F36" s="147"/>
      <c r="G36" s="55"/>
      <c r="H36" s="57"/>
      <c r="I36" s="57"/>
      <c r="J36" s="57"/>
      <c r="K36" s="57"/>
      <c r="L36" s="57"/>
      <c r="M36" s="57"/>
      <c r="N36" s="57"/>
      <c r="O36" s="57"/>
      <c r="P36" s="57"/>
    </row>
    <row r="37" spans="1:21" x14ac:dyDescent="0.25">
      <c r="A37" s="1"/>
      <c r="B37" s="50"/>
      <c r="C37" s="51"/>
      <c r="D37" s="51"/>
      <c r="E37" s="51"/>
      <c r="F37" s="52"/>
      <c r="G37" s="55"/>
      <c r="H37" s="54"/>
      <c r="I37" s="54"/>
      <c r="J37" s="54"/>
      <c r="K37" s="54"/>
      <c r="L37" s="54"/>
      <c r="M37" s="54"/>
      <c r="N37" s="54"/>
      <c r="O37" s="54"/>
      <c r="P37" s="54"/>
    </row>
    <row r="38" spans="1:21" x14ac:dyDescent="0.25">
      <c r="A38" s="36"/>
      <c r="B38" s="36"/>
      <c r="C38" s="36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</row>
    <row r="39" spans="1:21" x14ac:dyDescent="0.25">
      <c r="A39" s="36"/>
      <c r="B39" s="143" t="s">
        <v>54</v>
      </c>
      <c r="C39" s="143"/>
      <c r="D39" s="143"/>
      <c r="E39" s="143"/>
      <c r="F39" s="143"/>
      <c r="G39" s="143"/>
      <c r="H39" s="143"/>
      <c r="I39" s="143"/>
      <c r="J39" s="143"/>
      <c r="K39" s="143"/>
      <c r="L39" s="143"/>
      <c r="M39" s="143"/>
      <c r="N39" s="143"/>
      <c r="O39" s="143"/>
      <c r="P39" s="143"/>
    </row>
    <row r="40" spans="1:21" x14ac:dyDescent="0.25">
      <c r="A40" s="36"/>
      <c r="B40" s="37"/>
      <c r="C40" s="38" t="s">
        <v>19</v>
      </c>
      <c r="D40" s="39" t="s">
        <v>20</v>
      </c>
      <c r="E40" s="39" t="s">
        <v>21</v>
      </c>
      <c r="F40" s="39" t="s">
        <v>22</v>
      </c>
      <c r="G40" s="144" t="s">
        <v>23</v>
      </c>
      <c r="H40" s="145"/>
      <c r="I40" s="145"/>
      <c r="J40" s="145"/>
      <c r="K40" s="145"/>
      <c r="L40" s="145"/>
      <c r="M40" s="145"/>
      <c r="N40" s="145"/>
      <c r="O40" s="145"/>
      <c r="P40" s="145"/>
    </row>
    <row r="41" spans="1:21" x14ac:dyDescent="0.25">
      <c r="A41" s="36"/>
      <c r="B41" s="38" t="s">
        <v>24</v>
      </c>
      <c r="C41" s="37"/>
      <c r="D41" s="40"/>
      <c r="E41" s="40"/>
      <c r="F41" s="40"/>
      <c r="G41" s="40">
        <v>1</v>
      </c>
      <c r="H41" s="40">
        <f t="shared" ref="H41:P41" si="15">G41+1</f>
        <v>2</v>
      </c>
      <c r="I41" s="40">
        <f t="shared" si="15"/>
        <v>3</v>
      </c>
      <c r="J41" s="40">
        <f t="shared" si="15"/>
        <v>4</v>
      </c>
      <c r="K41" s="40">
        <f t="shared" si="15"/>
        <v>5</v>
      </c>
      <c r="L41" s="40">
        <f t="shared" si="15"/>
        <v>6</v>
      </c>
      <c r="M41" s="40">
        <f t="shared" si="15"/>
        <v>7</v>
      </c>
      <c r="N41" s="40">
        <f t="shared" si="15"/>
        <v>8</v>
      </c>
      <c r="O41" s="40">
        <f t="shared" si="15"/>
        <v>9</v>
      </c>
      <c r="P41" s="40">
        <f t="shared" si="15"/>
        <v>10</v>
      </c>
      <c r="Q41">
        <v>11</v>
      </c>
      <c r="R41">
        <v>12</v>
      </c>
      <c r="S41">
        <v>13</v>
      </c>
      <c r="T41">
        <v>14</v>
      </c>
      <c r="U41">
        <v>15</v>
      </c>
    </row>
    <row r="42" spans="1:21" ht="35.25" customHeight="1" x14ac:dyDescent="0.25">
      <c r="A42" s="36"/>
      <c r="B42" s="61" t="s">
        <v>3</v>
      </c>
      <c r="C42" s="37" t="s">
        <v>73</v>
      </c>
      <c r="D42" s="40">
        <f>D4</f>
        <v>10000</v>
      </c>
      <c r="E42" s="40">
        <f>E4*0.92</f>
        <v>478.40000000000003</v>
      </c>
      <c r="F42" s="40">
        <f>D42*E42</f>
        <v>4784000</v>
      </c>
      <c r="G42" s="40">
        <f>F42*0.3</f>
        <v>1435200</v>
      </c>
      <c r="H42" s="40">
        <f>F42*0.2</f>
        <v>956800</v>
      </c>
      <c r="I42" s="40">
        <f>F42</f>
        <v>4784000</v>
      </c>
      <c r="J42" s="40">
        <f>F42</f>
        <v>4784000</v>
      </c>
      <c r="K42" s="40">
        <f t="shared" ref="K42:U42" si="16">J42</f>
        <v>4784000</v>
      </c>
      <c r="L42" s="40">
        <f t="shared" si="16"/>
        <v>4784000</v>
      </c>
      <c r="M42" s="40">
        <f t="shared" si="16"/>
        <v>4784000</v>
      </c>
      <c r="N42" s="40">
        <f t="shared" si="16"/>
        <v>4784000</v>
      </c>
      <c r="O42" s="40">
        <f t="shared" si="16"/>
        <v>4784000</v>
      </c>
      <c r="P42" s="40">
        <f t="shared" si="16"/>
        <v>4784000</v>
      </c>
      <c r="Q42" s="40">
        <f t="shared" si="16"/>
        <v>4784000</v>
      </c>
      <c r="R42" s="40">
        <f t="shared" si="16"/>
        <v>4784000</v>
      </c>
      <c r="S42" s="40">
        <f t="shared" si="16"/>
        <v>4784000</v>
      </c>
      <c r="T42" s="40">
        <f t="shared" si="16"/>
        <v>4784000</v>
      </c>
      <c r="U42" s="40">
        <f t="shared" si="16"/>
        <v>4784000</v>
      </c>
    </row>
    <row r="43" spans="1:21" x14ac:dyDescent="0.25">
      <c r="A43" s="36"/>
      <c r="B43" s="38" t="s">
        <v>30</v>
      </c>
      <c r="C43" s="37"/>
      <c r="D43" s="40">
        <f t="shared" ref="D43:D61" si="17">D6</f>
        <v>0</v>
      </c>
      <c r="E43" s="40">
        <f t="shared" ref="E43:E57" si="18">E6*0.9</f>
        <v>0</v>
      </c>
      <c r="F43" s="39">
        <f t="shared" ref="F43:U43" si="19">SUM(F42:F42)</f>
        <v>4784000</v>
      </c>
      <c r="G43" s="39">
        <f t="shared" si="19"/>
        <v>1435200</v>
      </c>
      <c r="H43" s="39">
        <f t="shared" si="19"/>
        <v>956800</v>
      </c>
      <c r="I43" s="39">
        <f t="shared" si="19"/>
        <v>4784000</v>
      </c>
      <c r="J43" s="39">
        <f t="shared" si="19"/>
        <v>4784000</v>
      </c>
      <c r="K43" s="39">
        <f t="shared" si="19"/>
        <v>4784000</v>
      </c>
      <c r="L43" s="39">
        <f t="shared" si="19"/>
        <v>4784000</v>
      </c>
      <c r="M43" s="39">
        <f t="shared" si="19"/>
        <v>4784000</v>
      </c>
      <c r="N43" s="39">
        <f t="shared" si="19"/>
        <v>4784000</v>
      </c>
      <c r="O43" s="39">
        <f t="shared" si="19"/>
        <v>4784000</v>
      </c>
      <c r="P43" s="39">
        <f t="shared" si="19"/>
        <v>4784000</v>
      </c>
      <c r="Q43" s="39">
        <f t="shared" si="19"/>
        <v>4784000</v>
      </c>
      <c r="R43" s="39">
        <f t="shared" si="19"/>
        <v>4784000</v>
      </c>
      <c r="S43" s="39">
        <f t="shared" si="19"/>
        <v>4784000</v>
      </c>
      <c r="T43" s="39">
        <f t="shared" si="19"/>
        <v>4784000</v>
      </c>
      <c r="U43" s="39">
        <f t="shared" si="19"/>
        <v>4784000</v>
      </c>
    </row>
    <row r="44" spans="1:21" x14ac:dyDescent="0.25">
      <c r="A44" s="36"/>
      <c r="B44" s="37"/>
      <c r="C44" s="37"/>
      <c r="D44" s="40">
        <f t="shared" si="17"/>
        <v>0</v>
      </c>
      <c r="E44" s="40">
        <f t="shared" si="18"/>
        <v>0</v>
      </c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</row>
    <row r="45" spans="1:21" x14ac:dyDescent="0.25">
      <c r="A45" s="36"/>
      <c r="B45" s="43" t="s">
        <v>31</v>
      </c>
      <c r="C45" s="37"/>
      <c r="D45" s="40">
        <f t="shared" si="17"/>
        <v>0</v>
      </c>
      <c r="E45" s="40">
        <f t="shared" si="18"/>
        <v>0</v>
      </c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</row>
    <row r="46" spans="1:21" x14ac:dyDescent="0.25">
      <c r="A46" s="36"/>
      <c r="B46" s="38" t="s">
        <v>32</v>
      </c>
      <c r="C46" s="37"/>
      <c r="D46" s="40">
        <f t="shared" si="17"/>
        <v>0</v>
      </c>
      <c r="E46" s="40">
        <f t="shared" si="18"/>
        <v>0</v>
      </c>
      <c r="F46" s="44"/>
      <c r="G46" s="40"/>
      <c r="H46" s="40"/>
      <c r="I46" s="40"/>
      <c r="J46" s="40"/>
      <c r="K46" s="40"/>
      <c r="L46" s="40"/>
      <c r="M46" s="40"/>
      <c r="N46" s="40"/>
      <c r="O46" s="40"/>
      <c r="P46" s="40"/>
    </row>
    <row r="47" spans="1:21" x14ac:dyDescent="0.25">
      <c r="A47" s="36"/>
      <c r="B47" s="63" t="s">
        <v>74</v>
      </c>
      <c r="C47" s="37" t="s">
        <v>36</v>
      </c>
      <c r="D47" s="40">
        <f t="shared" si="17"/>
        <v>10</v>
      </c>
      <c r="E47" s="40">
        <f t="shared" si="18"/>
        <v>90000</v>
      </c>
      <c r="F47" s="40">
        <f>D47*E47</f>
        <v>900000</v>
      </c>
      <c r="G47" s="40">
        <f>D47*E47</f>
        <v>900000</v>
      </c>
      <c r="H47" s="40">
        <v>0</v>
      </c>
      <c r="I47" s="40">
        <v>0</v>
      </c>
      <c r="J47" s="40">
        <v>0</v>
      </c>
      <c r="K47" s="40"/>
      <c r="L47" s="40"/>
      <c r="M47" s="40"/>
      <c r="N47" s="40"/>
      <c r="O47" s="40"/>
      <c r="P47" s="40">
        <f>K47</f>
        <v>0</v>
      </c>
    </row>
    <row r="48" spans="1:21" x14ac:dyDescent="0.25">
      <c r="A48" s="36"/>
      <c r="B48" s="63" t="s">
        <v>67</v>
      </c>
      <c r="C48" s="37" t="s">
        <v>36</v>
      </c>
      <c r="D48" s="40">
        <f t="shared" si="17"/>
        <v>1</v>
      </c>
      <c r="E48" s="40">
        <f t="shared" si="18"/>
        <v>45000</v>
      </c>
      <c r="F48" s="40">
        <f t="shared" ref="F48" si="20">D48*E48</f>
        <v>45000</v>
      </c>
      <c r="G48" s="40">
        <f>D48*E48</f>
        <v>45000</v>
      </c>
      <c r="H48" s="40">
        <v>0</v>
      </c>
      <c r="I48" s="40">
        <v>0</v>
      </c>
      <c r="J48" s="40">
        <v>0</v>
      </c>
      <c r="K48" s="40">
        <v>0</v>
      </c>
      <c r="L48" s="40"/>
      <c r="M48" s="40"/>
      <c r="N48" s="40"/>
      <c r="O48" s="40"/>
      <c r="P48" s="40"/>
    </row>
    <row r="49" spans="1:22" x14ac:dyDescent="0.25">
      <c r="A49" s="36"/>
      <c r="B49" s="38" t="s">
        <v>37</v>
      </c>
      <c r="C49" s="37"/>
      <c r="D49" s="40">
        <f t="shared" si="17"/>
        <v>0</v>
      </c>
      <c r="E49" s="40">
        <f t="shared" si="18"/>
        <v>0</v>
      </c>
      <c r="F49" s="39">
        <f t="shared" ref="F49:U49" si="21">SUM(F47:F48)</f>
        <v>945000</v>
      </c>
      <c r="G49" s="39">
        <f t="shared" si="21"/>
        <v>945000</v>
      </c>
      <c r="H49" s="39">
        <f t="shared" si="21"/>
        <v>0</v>
      </c>
      <c r="I49" s="39">
        <f t="shared" si="21"/>
        <v>0</v>
      </c>
      <c r="J49" s="39">
        <f t="shared" si="21"/>
        <v>0</v>
      </c>
      <c r="K49" s="39">
        <f t="shared" si="21"/>
        <v>0</v>
      </c>
      <c r="L49" s="39">
        <f t="shared" si="21"/>
        <v>0</v>
      </c>
      <c r="M49" s="39">
        <f t="shared" si="21"/>
        <v>0</v>
      </c>
      <c r="N49" s="39">
        <f t="shared" si="21"/>
        <v>0</v>
      </c>
      <c r="O49" s="39">
        <f t="shared" si="21"/>
        <v>0</v>
      </c>
      <c r="P49" s="39">
        <f t="shared" si="21"/>
        <v>0</v>
      </c>
      <c r="Q49" s="39">
        <f t="shared" si="21"/>
        <v>0</v>
      </c>
      <c r="R49" s="39">
        <f t="shared" si="21"/>
        <v>0</v>
      </c>
      <c r="S49" s="39">
        <f t="shared" si="21"/>
        <v>0</v>
      </c>
      <c r="T49" s="39">
        <f t="shared" si="21"/>
        <v>0</v>
      </c>
      <c r="U49" s="39">
        <f t="shared" si="21"/>
        <v>0</v>
      </c>
    </row>
    <row r="50" spans="1:22" x14ac:dyDescent="0.25">
      <c r="A50" s="36"/>
      <c r="B50" s="37"/>
      <c r="C50" s="37"/>
      <c r="D50" s="40">
        <f t="shared" si="17"/>
        <v>0</v>
      </c>
      <c r="E50" s="40">
        <f t="shared" si="18"/>
        <v>0</v>
      </c>
      <c r="F50" s="40">
        <f t="shared" ref="F50:F51" si="22">D50*E50</f>
        <v>0</v>
      </c>
      <c r="G50" s="40"/>
      <c r="H50" s="40"/>
      <c r="I50" s="40"/>
      <c r="J50" s="40"/>
      <c r="K50" s="40"/>
      <c r="L50" s="40"/>
      <c r="M50" s="40"/>
      <c r="N50" s="40"/>
      <c r="O50" s="40"/>
      <c r="P50" s="40"/>
    </row>
    <row r="51" spans="1:22" x14ac:dyDescent="0.25">
      <c r="A51" s="36"/>
      <c r="B51" s="38" t="s">
        <v>38</v>
      </c>
      <c r="C51" s="37"/>
      <c r="D51" s="40">
        <f t="shared" si="17"/>
        <v>0</v>
      </c>
      <c r="E51" s="40">
        <f t="shared" si="18"/>
        <v>0</v>
      </c>
      <c r="F51" s="40">
        <f t="shared" si="22"/>
        <v>0</v>
      </c>
      <c r="G51" s="40"/>
      <c r="H51" s="40"/>
      <c r="I51" s="40"/>
      <c r="J51" s="40"/>
      <c r="K51" s="40"/>
      <c r="L51" s="40"/>
      <c r="M51" s="40"/>
      <c r="N51" s="40"/>
      <c r="O51" s="40"/>
      <c r="P51" s="40"/>
    </row>
    <row r="52" spans="1:22" x14ac:dyDescent="0.25">
      <c r="A52" s="36"/>
      <c r="B52" s="64" t="s">
        <v>77</v>
      </c>
      <c r="C52" s="37" t="s">
        <v>40</v>
      </c>
      <c r="D52" s="40">
        <f t="shared" si="17"/>
        <v>0</v>
      </c>
      <c r="E52" s="40">
        <f t="shared" si="18"/>
        <v>0</v>
      </c>
      <c r="F52" s="40">
        <f>E52</f>
        <v>0</v>
      </c>
      <c r="G52" s="40">
        <f>F52</f>
        <v>0</v>
      </c>
      <c r="H52" s="40">
        <f>F52</f>
        <v>0</v>
      </c>
      <c r="I52" s="40">
        <f>H52</f>
        <v>0</v>
      </c>
      <c r="J52" s="40">
        <f>I52</f>
        <v>0</v>
      </c>
      <c r="K52" s="40">
        <f t="shared" ref="K52:U57" si="23">J52</f>
        <v>0</v>
      </c>
      <c r="L52" s="40">
        <f t="shared" si="23"/>
        <v>0</v>
      </c>
      <c r="M52" s="40">
        <f t="shared" si="23"/>
        <v>0</v>
      </c>
      <c r="N52" s="40">
        <f t="shared" si="23"/>
        <v>0</v>
      </c>
      <c r="O52" s="40">
        <f t="shared" si="23"/>
        <v>0</v>
      </c>
      <c r="P52" s="40">
        <f t="shared" si="23"/>
        <v>0</v>
      </c>
      <c r="Q52" s="40">
        <f t="shared" si="23"/>
        <v>0</v>
      </c>
      <c r="R52" s="40">
        <f t="shared" si="23"/>
        <v>0</v>
      </c>
      <c r="S52" s="40">
        <f t="shared" si="23"/>
        <v>0</v>
      </c>
      <c r="T52" s="40">
        <f t="shared" si="23"/>
        <v>0</v>
      </c>
      <c r="U52" s="40">
        <f t="shared" si="23"/>
        <v>0</v>
      </c>
    </row>
    <row r="53" spans="1:22" x14ac:dyDescent="0.25">
      <c r="A53" s="36"/>
      <c r="B53" s="45" t="s">
        <v>41</v>
      </c>
      <c r="C53" s="37" t="s">
        <v>40</v>
      </c>
      <c r="D53" s="40">
        <f t="shared" si="17"/>
        <v>2000</v>
      </c>
      <c r="E53" s="40">
        <f t="shared" si="18"/>
        <v>810</v>
      </c>
      <c r="F53" s="40">
        <f t="shared" ref="F53:F57" si="24">D53*E53</f>
        <v>1620000</v>
      </c>
      <c r="G53" s="40">
        <f>F53*0.75</f>
        <v>1215000</v>
      </c>
      <c r="H53" s="40">
        <f>D53*E53*1</f>
        <v>1620000</v>
      </c>
      <c r="I53" s="40">
        <f>D53*E53*1</f>
        <v>1620000</v>
      </c>
      <c r="J53" s="40">
        <f>D53*E53</f>
        <v>1620000</v>
      </c>
      <c r="K53" s="40">
        <f t="shared" si="23"/>
        <v>1620000</v>
      </c>
      <c r="L53" s="40">
        <f t="shared" si="23"/>
        <v>1620000</v>
      </c>
      <c r="M53" s="40">
        <f t="shared" si="23"/>
        <v>1620000</v>
      </c>
      <c r="N53" s="40">
        <f t="shared" si="23"/>
        <v>1620000</v>
      </c>
      <c r="O53" s="40">
        <f t="shared" si="23"/>
        <v>1620000</v>
      </c>
      <c r="P53" s="40">
        <f t="shared" si="23"/>
        <v>1620000</v>
      </c>
      <c r="Q53" s="40">
        <f t="shared" si="23"/>
        <v>1620000</v>
      </c>
      <c r="R53" s="40">
        <f t="shared" si="23"/>
        <v>1620000</v>
      </c>
      <c r="S53" s="40">
        <f t="shared" si="23"/>
        <v>1620000</v>
      </c>
      <c r="T53" s="40">
        <f t="shared" si="23"/>
        <v>1620000</v>
      </c>
      <c r="U53" s="40">
        <f t="shared" si="23"/>
        <v>1620000</v>
      </c>
      <c r="V53" s="46"/>
    </row>
    <row r="54" spans="1:22" x14ac:dyDescent="0.25">
      <c r="A54" s="36"/>
      <c r="B54" s="45" t="s">
        <v>76</v>
      </c>
      <c r="C54" s="37" t="s">
        <v>40</v>
      </c>
      <c r="D54" s="40">
        <f t="shared" si="17"/>
        <v>12</v>
      </c>
      <c r="E54" s="40">
        <f t="shared" si="18"/>
        <v>40500</v>
      </c>
      <c r="F54" s="40">
        <f t="shared" si="24"/>
        <v>486000</v>
      </c>
      <c r="G54" s="40">
        <f>F54</f>
        <v>486000</v>
      </c>
      <c r="H54" s="40">
        <f>F54</f>
        <v>486000</v>
      </c>
      <c r="I54" s="40">
        <f t="shared" ref="I54:J54" si="25">H54</f>
        <v>486000</v>
      </c>
      <c r="J54" s="40">
        <f t="shared" si="25"/>
        <v>486000</v>
      </c>
      <c r="K54" s="40">
        <f t="shared" si="23"/>
        <v>486000</v>
      </c>
      <c r="L54" s="40">
        <f t="shared" si="23"/>
        <v>486000</v>
      </c>
      <c r="M54" s="40">
        <f t="shared" si="23"/>
        <v>486000</v>
      </c>
      <c r="N54" s="40">
        <f t="shared" si="23"/>
        <v>486000</v>
      </c>
      <c r="O54" s="40">
        <f t="shared" si="23"/>
        <v>486000</v>
      </c>
      <c r="P54" s="40">
        <f t="shared" si="23"/>
        <v>486000</v>
      </c>
      <c r="Q54" s="40">
        <f t="shared" si="23"/>
        <v>486000</v>
      </c>
      <c r="R54" s="40">
        <f t="shared" si="23"/>
        <v>486000</v>
      </c>
      <c r="S54" s="40">
        <f t="shared" si="23"/>
        <v>486000</v>
      </c>
      <c r="T54" s="40">
        <f t="shared" si="23"/>
        <v>486000</v>
      </c>
      <c r="U54" s="40">
        <f t="shared" si="23"/>
        <v>486000</v>
      </c>
      <c r="V54" s="46"/>
    </row>
    <row r="55" spans="1:22" x14ac:dyDescent="0.25">
      <c r="A55" s="36"/>
      <c r="B55" s="45" t="s">
        <v>223</v>
      </c>
      <c r="C55" s="37" t="s">
        <v>40</v>
      </c>
      <c r="D55" s="40">
        <f t="shared" si="17"/>
        <v>12</v>
      </c>
      <c r="E55" s="40">
        <f t="shared" si="18"/>
        <v>49500</v>
      </c>
      <c r="F55" s="40">
        <f t="shared" si="24"/>
        <v>594000</v>
      </c>
      <c r="G55" s="40">
        <f>F55</f>
        <v>594000</v>
      </c>
      <c r="H55" s="40">
        <f>F55</f>
        <v>594000</v>
      </c>
      <c r="I55" s="40">
        <f>F55</f>
        <v>594000</v>
      </c>
      <c r="J55" s="40">
        <f>F55</f>
        <v>594000</v>
      </c>
      <c r="K55" s="40">
        <f>J55</f>
        <v>594000</v>
      </c>
      <c r="L55" s="40">
        <f t="shared" si="23"/>
        <v>594000</v>
      </c>
      <c r="M55" s="40">
        <f t="shared" si="23"/>
        <v>594000</v>
      </c>
      <c r="N55" s="40">
        <f t="shared" si="23"/>
        <v>594000</v>
      </c>
      <c r="O55" s="40">
        <f t="shared" si="23"/>
        <v>594000</v>
      </c>
      <c r="P55" s="40">
        <f t="shared" si="23"/>
        <v>594000</v>
      </c>
      <c r="Q55" s="40">
        <f t="shared" si="23"/>
        <v>594000</v>
      </c>
      <c r="R55" s="40">
        <f t="shared" si="23"/>
        <v>594000</v>
      </c>
      <c r="S55" s="40">
        <f t="shared" si="23"/>
        <v>594000</v>
      </c>
      <c r="T55" s="40">
        <f t="shared" si="23"/>
        <v>594000</v>
      </c>
      <c r="U55" s="40">
        <f t="shared" si="23"/>
        <v>594000</v>
      </c>
    </row>
    <row r="56" spans="1:22" x14ac:dyDescent="0.25">
      <c r="A56" s="36"/>
      <c r="B56" s="45" t="s">
        <v>79</v>
      </c>
      <c r="C56" s="37" t="s">
        <v>40</v>
      </c>
      <c r="D56" s="40">
        <f t="shared" si="17"/>
        <v>100</v>
      </c>
      <c r="E56" s="40">
        <f t="shared" si="18"/>
        <v>900</v>
      </c>
      <c r="F56" s="40">
        <f t="shared" si="24"/>
        <v>90000</v>
      </c>
      <c r="G56" s="40">
        <f>F56</f>
        <v>90000</v>
      </c>
      <c r="H56" s="40">
        <f>D56*E56*1</f>
        <v>90000</v>
      </c>
      <c r="I56" s="40">
        <f>D56*E56*1</f>
        <v>90000</v>
      </c>
      <c r="J56" s="40">
        <f>D56*E56</f>
        <v>90000</v>
      </c>
      <c r="K56" s="40">
        <f>J56</f>
        <v>90000</v>
      </c>
      <c r="L56" s="40">
        <f t="shared" si="23"/>
        <v>90000</v>
      </c>
      <c r="M56" s="40">
        <f t="shared" si="23"/>
        <v>90000</v>
      </c>
      <c r="N56" s="40">
        <f t="shared" si="23"/>
        <v>90000</v>
      </c>
      <c r="O56" s="40">
        <f t="shared" si="23"/>
        <v>90000</v>
      </c>
      <c r="P56" s="40">
        <f t="shared" si="23"/>
        <v>90000</v>
      </c>
      <c r="Q56" s="40">
        <f t="shared" si="23"/>
        <v>90000</v>
      </c>
      <c r="R56" s="40">
        <f t="shared" si="23"/>
        <v>90000</v>
      </c>
      <c r="S56" s="40">
        <f t="shared" si="23"/>
        <v>90000</v>
      </c>
      <c r="T56" s="40">
        <f t="shared" si="23"/>
        <v>90000</v>
      </c>
      <c r="U56" s="40">
        <f t="shared" si="23"/>
        <v>90000</v>
      </c>
    </row>
    <row r="57" spans="1:22" x14ac:dyDescent="0.25">
      <c r="A57" s="36"/>
      <c r="B57" s="45" t="s">
        <v>222</v>
      </c>
      <c r="C57" s="37" t="s">
        <v>40</v>
      </c>
      <c r="D57" s="40">
        <f t="shared" si="17"/>
        <v>1</v>
      </c>
      <c r="E57" s="40">
        <f t="shared" si="18"/>
        <v>450000</v>
      </c>
      <c r="F57" s="40">
        <f t="shared" si="24"/>
        <v>450000</v>
      </c>
      <c r="G57" s="40">
        <f>F57</f>
        <v>450000</v>
      </c>
      <c r="H57" s="40">
        <f>D57*E57*1</f>
        <v>450000</v>
      </c>
      <c r="I57" s="40">
        <f>D57*E57*1</f>
        <v>450000</v>
      </c>
      <c r="J57" s="40">
        <f>D57*E57</f>
        <v>450000</v>
      </c>
      <c r="K57" s="40">
        <f>J57</f>
        <v>450000</v>
      </c>
      <c r="L57" s="40">
        <f t="shared" si="23"/>
        <v>450000</v>
      </c>
      <c r="M57" s="40">
        <f t="shared" si="23"/>
        <v>450000</v>
      </c>
      <c r="N57" s="40">
        <f t="shared" si="23"/>
        <v>450000</v>
      </c>
      <c r="O57" s="40">
        <f t="shared" si="23"/>
        <v>450000</v>
      </c>
      <c r="P57" s="40">
        <f t="shared" si="23"/>
        <v>450000</v>
      </c>
      <c r="Q57" s="40">
        <f t="shared" si="23"/>
        <v>450000</v>
      </c>
      <c r="R57" s="40">
        <f t="shared" si="23"/>
        <v>450000</v>
      </c>
      <c r="S57" s="40">
        <f t="shared" si="23"/>
        <v>450000</v>
      </c>
      <c r="T57" s="40">
        <f t="shared" si="23"/>
        <v>450000</v>
      </c>
      <c r="U57" s="40">
        <f t="shared" si="23"/>
        <v>450000</v>
      </c>
    </row>
    <row r="58" spans="1:22" x14ac:dyDescent="0.25">
      <c r="A58" s="36"/>
      <c r="B58" s="38" t="s">
        <v>44</v>
      </c>
      <c r="C58" s="37"/>
      <c r="D58" s="40">
        <f t="shared" si="17"/>
        <v>0</v>
      </c>
      <c r="E58" s="40"/>
      <c r="F58" s="39">
        <f>SUM(F52:F57)</f>
        <v>3240000</v>
      </c>
      <c r="G58" s="39">
        <f t="shared" ref="G58:U58" si="26">SUM(G52:G57)</f>
        <v>2835000</v>
      </c>
      <c r="H58" s="39">
        <f t="shared" si="26"/>
        <v>3240000</v>
      </c>
      <c r="I58" s="39">
        <f t="shared" si="26"/>
        <v>3240000</v>
      </c>
      <c r="J58" s="39">
        <f t="shared" si="26"/>
        <v>3240000</v>
      </c>
      <c r="K58" s="39">
        <f t="shared" si="26"/>
        <v>3240000</v>
      </c>
      <c r="L58" s="39">
        <f t="shared" si="26"/>
        <v>3240000</v>
      </c>
      <c r="M58" s="39">
        <f t="shared" si="26"/>
        <v>3240000</v>
      </c>
      <c r="N58" s="39">
        <f t="shared" si="26"/>
        <v>3240000</v>
      </c>
      <c r="O58" s="39">
        <f t="shared" si="26"/>
        <v>3240000</v>
      </c>
      <c r="P58" s="39">
        <f t="shared" si="26"/>
        <v>3240000</v>
      </c>
      <c r="Q58" s="39">
        <f t="shared" si="26"/>
        <v>3240000</v>
      </c>
      <c r="R58" s="39">
        <f t="shared" si="26"/>
        <v>3240000</v>
      </c>
      <c r="S58" s="39">
        <f t="shared" si="26"/>
        <v>3240000</v>
      </c>
      <c r="T58" s="39">
        <f t="shared" si="26"/>
        <v>3240000</v>
      </c>
      <c r="U58" s="39">
        <f t="shared" si="26"/>
        <v>3240000</v>
      </c>
    </row>
    <row r="59" spans="1:22" x14ac:dyDescent="0.25">
      <c r="A59" s="36"/>
      <c r="B59" s="47"/>
      <c r="C59" s="37"/>
      <c r="D59" s="40">
        <f t="shared" si="17"/>
        <v>0</v>
      </c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</row>
    <row r="60" spans="1:22" x14ac:dyDescent="0.25">
      <c r="A60" s="36"/>
      <c r="B60" s="38" t="s">
        <v>45</v>
      </c>
      <c r="C60" s="37"/>
      <c r="D60" s="40">
        <f t="shared" si="17"/>
        <v>0</v>
      </c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</row>
    <row r="61" spans="1:22" x14ac:dyDescent="0.25">
      <c r="A61" s="36"/>
      <c r="B61" s="37" t="s">
        <v>72</v>
      </c>
      <c r="C61" s="37" t="s">
        <v>47</v>
      </c>
      <c r="D61" s="40">
        <f t="shared" si="17"/>
        <v>1</v>
      </c>
      <c r="E61" s="40">
        <f>E24*0.9</f>
        <v>3750.0000000000005</v>
      </c>
      <c r="F61" s="40">
        <f>D61*E61</f>
        <v>3750.0000000000005</v>
      </c>
      <c r="G61" s="40">
        <v>0</v>
      </c>
      <c r="H61" s="40">
        <f>D61*E61</f>
        <v>3750.0000000000005</v>
      </c>
      <c r="I61" s="40">
        <f t="shared" ref="I61:U61" si="27">H61</f>
        <v>3750.0000000000005</v>
      </c>
      <c r="J61" s="40">
        <f t="shared" si="27"/>
        <v>3750.0000000000005</v>
      </c>
      <c r="K61" s="40">
        <f t="shared" si="27"/>
        <v>3750.0000000000005</v>
      </c>
      <c r="L61" s="40">
        <f t="shared" si="27"/>
        <v>3750.0000000000005</v>
      </c>
      <c r="M61" s="40">
        <f t="shared" si="27"/>
        <v>3750.0000000000005</v>
      </c>
      <c r="N61" s="40">
        <f t="shared" si="27"/>
        <v>3750.0000000000005</v>
      </c>
      <c r="O61" s="40">
        <f t="shared" si="27"/>
        <v>3750.0000000000005</v>
      </c>
      <c r="P61" s="40">
        <f t="shared" si="27"/>
        <v>3750.0000000000005</v>
      </c>
      <c r="Q61" s="40">
        <f t="shared" si="27"/>
        <v>3750.0000000000005</v>
      </c>
      <c r="R61" s="40">
        <f t="shared" si="27"/>
        <v>3750.0000000000005</v>
      </c>
      <c r="S61" s="40">
        <f t="shared" si="27"/>
        <v>3750.0000000000005</v>
      </c>
      <c r="T61" s="40">
        <f t="shared" si="27"/>
        <v>3750.0000000000005</v>
      </c>
      <c r="U61" s="40">
        <f t="shared" si="27"/>
        <v>3750.0000000000005</v>
      </c>
      <c r="V61" s="48">
        <f>SUM(H61:U61)</f>
        <v>52500.000000000007</v>
      </c>
    </row>
    <row r="62" spans="1:22" x14ac:dyDescent="0.25">
      <c r="A62" s="36"/>
      <c r="B62" s="38" t="s">
        <v>48</v>
      </c>
      <c r="C62" s="37"/>
      <c r="D62" s="40"/>
      <c r="E62" s="40"/>
      <c r="F62" s="39">
        <f t="shared" ref="F62:U62" si="28">SUM(F61:F61)</f>
        <v>3750.0000000000005</v>
      </c>
      <c r="G62" s="39">
        <f t="shared" si="28"/>
        <v>0</v>
      </c>
      <c r="H62" s="39">
        <f t="shared" si="28"/>
        <v>3750.0000000000005</v>
      </c>
      <c r="I62" s="39">
        <f t="shared" si="28"/>
        <v>3750.0000000000005</v>
      </c>
      <c r="J62" s="39">
        <f t="shared" si="28"/>
        <v>3750.0000000000005</v>
      </c>
      <c r="K62" s="39">
        <f t="shared" si="28"/>
        <v>3750.0000000000005</v>
      </c>
      <c r="L62" s="39">
        <f t="shared" si="28"/>
        <v>3750.0000000000005</v>
      </c>
      <c r="M62" s="39">
        <f t="shared" si="28"/>
        <v>3750.0000000000005</v>
      </c>
      <c r="N62" s="39">
        <f t="shared" si="28"/>
        <v>3750.0000000000005</v>
      </c>
      <c r="O62" s="39">
        <f t="shared" si="28"/>
        <v>3750.0000000000005</v>
      </c>
      <c r="P62" s="39">
        <f t="shared" si="28"/>
        <v>3750.0000000000005</v>
      </c>
      <c r="Q62" s="39">
        <f t="shared" si="28"/>
        <v>3750.0000000000005</v>
      </c>
      <c r="R62" s="39">
        <f t="shared" si="28"/>
        <v>3750.0000000000005</v>
      </c>
      <c r="S62" s="39">
        <f t="shared" si="28"/>
        <v>3750.0000000000005</v>
      </c>
      <c r="T62" s="39">
        <f t="shared" si="28"/>
        <v>3750.0000000000005</v>
      </c>
      <c r="U62" s="39">
        <f t="shared" si="28"/>
        <v>3750.0000000000005</v>
      </c>
    </row>
    <row r="63" spans="1:22" x14ac:dyDescent="0.25">
      <c r="A63" s="36"/>
      <c r="B63" s="38" t="s">
        <v>49</v>
      </c>
      <c r="C63" s="37"/>
      <c r="D63" s="40"/>
      <c r="E63" s="40"/>
      <c r="F63" s="39">
        <f t="shared" ref="F63:U63" si="29">F49+F58+F62</f>
        <v>4188750</v>
      </c>
      <c r="G63" s="39">
        <f t="shared" si="29"/>
        <v>3780000</v>
      </c>
      <c r="H63" s="39">
        <f t="shared" si="29"/>
        <v>3243750</v>
      </c>
      <c r="I63" s="39">
        <f t="shared" si="29"/>
        <v>3243750</v>
      </c>
      <c r="J63" s="39">
        <f t="shared" si="29"/>
        <v>3243750</v>
      </c>
      <c r="K63" s="39">
        <f t="shared" si="29"/>
        <v>3243750</v>
      </c>
      <c r="L63" s="39">
        <f t="shared" si="29"/>
        <v>3243750</v>
      </c>
      <c r="M63" s="39">
        <f t="shared" si="29"/>
        <v>3243750</v>
      </c>
      <c r="N63" s="39">
        <f t="shared" si="29"/>
        <v>3243750</v>
      </c>
      <c r="O63" s="39">
        <f t="shared" si="29"/>
        <v>3243750</v>
      </c>
      <c r="P63" s="39">
        <f t="shared" si="29"/>
        <v>3243750</v>
      </c>
      <c r="Q63" s="39">
        <f t="shared" si="29"/>
        <v>3243750</v>
      </c>
      <c r="R63" s="39">
        <f t="shared" si="29"/>
        <v>3243750</v>
      </c>
      <c r="S63" s="39">
        <f t="shared" si="29"/>
        <v>3243750</v>
      </c>
      <c r="T63" s="39">
        <f t="shared" si="29"/>
        <v>3243750</v>
      </c>
      <c r="U63" s="39">
        <f t="shared" si="29"/>
        <v>3243750</v>
      </c>
    </row>
    <row r="64" spans="1:22" x14ac:dyDescent="0.25">
      <c r="A64" s="36"/>
      <c r="B64" s="38"/>
      <c r="C64" s="37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</row>
    <row r="65" spans="1:21" x14ac:dyDescent="0.25">
      <c r="A65" s="36"/>
      <c r="B65" s="38" t="s">
        <v>50</v>
      </c>
      <c r="C65" s="37" t="s">
        <v>47</v>
      </c>
      <c r="D65" s="40"/>
      <c r="E65" s="40"/>
      <c r="F65" s="40"/>
      <c r="G65" s="39">
        <f t="shared" ref="G65:U65" si="30">G43-G49-G58</f>
        <v>-2344800</v>
      </c>
      <c r="H65" s="39">
        <f t="shared" si="30"/>
        <v>-2283200</v>
      </c>
      <c r="I65" s="39">
        <f t="shared" si="30"/>
        <v>1544000</v>
      </c>
      <c r="J65" s="39">
        <f t="shared" si="30"/>
        <v>1544000</v>
      </c>
      <c r="K65" s="39">
        <f t="shared" si="30"/>
        <v>1544000</v>
      </c>
      <c r="L65" s="39">
        <f t="shared" si="30"/>
        <v>1544000</v>
      </c>
      <c r="M65" s="39">
        <f t="shared" si="30"/>
        <v>1544000</v>
      </c>
      <c r="N65" s="39">
        <f t="shared" si="30"/>
        <v>1544000</v>
      </c>
      <c r="O65" s="39">
        <f t="shared" si="30"/>
        <v>1544000</v>
      </c>
      <c r="P65" s="39">
        <f t="shared" si="30"/>
        <v>1544000</v>
      </c>
      <c r="Q65" s="39">
        <f t="shared" si="30"/>
        <v>1544000</v>
      </c>
      <c r="R65" s="39">
        <f t="shared" si="30"/>
        <v>1544000</v>
      </c>
      <c r="S65" s="39">
        <f t="shared" si="30"/>
        <v>1544000</v>
      </c>
      <c r="T65" s="39">
        <f t="shared" si="30"/>
        <v>1544000</v>
      </c>
      <c r="U65" s="39">
        <f t="shared" si="30"/>
        <v>1544000</v>
      </c>
    </row>
    <row r="66" spans="1:21" x14ac:dyDescent="0.25">
      <c r="A66" s="36"/>
      <c r="B66" s="38" t="s">
        <v>51</v>
      </c>
      <c r="C66" s="37" t="s">
        <v>47</v>
      </c>
      <c r="D66" s="40"/>
      <c r="E66" s="40"/>
      <c r="F66" s="40"/>
      <c r="G66" s="39">
        <f>G65-G62</f>
        <v>-2344800</v>
      </c>
      <c r="H66" s="39">
        <f>(H65-H62)</f>
        <v>-2286950</v>
      </c>
      <c r="I66" s="39">
        <f>-(I65-I62)</f>
        <v>-1540250</v>
      </c>
      <c r="J66" s="39">
        <f>J65-J62</f>
        <v>1540250</v>
      </c>
      <c r="K66" s="39">
        <f>K65-K62</f>
        <v>1540250</v>
      </c>
      <c r="L66" s="39">
        <f t="shared" ref="L66:U66" si="31">L65-L62</f>
        <v>1540250</v>
      </c>
      <c r="M66" s="39">
        <f t="shared" si="31"/>
        <v>1540250</v>
      </c>
      <c r="N66" s="39">
        <f t="shared" si="31"/>
        <v>1540250</v>
      </c>
      <c r="O66" s="39">
        <f t="shared" si="31"/>
        <v>1540250</v>
      </c>
      <c r="P66" s="39">
        <f t="shared" si="31"/>
        <v>1540250</v>
      </c>
      <c r="Q66" s="39">
        <f t="shared" si="31"/>
        <v>1540250</v>
      </c>
      <c r="R66" s="39">
        <f t="shared" si="31"/>
        <v>1540250</v>
      </c>
      <c r="S66" s="39">
        <f t="shared" si="31"/>
        <v>1540250</v>
      </c>
      <c r="T66" s="39">
        <f t="shared" si="31"/>
        <v>1540250</v>
      </c>
      <c r="U66" s="39">
        <f t="shared" si="31"/>
        <v>1540250</v>
      </c>
    </row>
    <row r="67" spans="1:21" x14ac:dyDescent="0.25">
      <c r="A67" s="1"/>
      <c r="B67" s="140" t="s">
        <v>58</v>
      </c>
      <c r="C67" s="141"/>
      <c r="D67" s="141"/>
      <c r="E67" s="141"/>
      <c r="F67" s="142"/>
      <c r="G67" s="53">
        <f>IRR(G66:U66)</f>
        <v>0.17674785522482828</v>
      </c>
      <c r="H67" s="54"/>
      <c r="I67" s="54"/>
      <c r="J67" s="54"/>
      <c r="K67" s="54"/>
      <c r="L67" s="54"/>
      <c r="M67" s="54"/>
      <c r="N67" s="54"/>
      <c r="O67" s="54"/>
      <c r="P67" s="54"/>
    </row>
    <row r="68" spans="1:21" x14ac:dyDescent="0.25">
      <c r="A68" s="1"/>
      <c r="B68" s="140" t="s">
        <v>59</v>
      </c>
      <c r="C68" s="141"/>
      <c r="D68" s="141"/>
      <c r="E68" s="141"/>
      <c r="F68" s="142"/>
      <c r="G68" s="55">
        <f>NPV(0.1,G66:U66)</f>
        <v>2705999.8724389346</v>
      </c>
      <c r="H68" s="54"/>
      <c r="I68" s="54"/>
      <c r="J68" s="54"/>
      <c r="K68" s="54"/>
      <c r="L68" s="54"/>
      <c r="M68" s="54"/>
      <c r="N68" s="54"/>
      <c r="O68" s="54"/>
      <c r="P68" s="54"/>
    </row>
    <row r="69" spans="1:21" x14ac:dyDescent="0.25">
      <c r="A69" s="1"/>
      <c r="B69" s="148"/>
      <c r="C69" s="148"/>
      <c r="D69" s="148"/>
      <c r="E69" s="148"/>
      <c r="F69" s="148"/>
      <c r="G69" s="56"/>
      <c r="H69" s="57"/>
      <c r="I69" s="57"/>
      <c r="J69" s="57"/>
      <c r="K69" s="57"/>
      <c r="L69" s="57"/>
      <c r="M69" s="57"/>
      <c r="N69" s="57"/>
      <c r="O69" s="57"/>
      <c r="P69" s="57"/>
    </row>
    <row r="70" spans="1:21" x14ac:dyDescent="0.25">
      <c r="A70" s="1"/>
      <c r="B70" s="148"/>
      <c r="C70" s="149"/>
      <c r="D70" s="149"/>
      <c r="E70" s="149"/>
      <c r="F70" s="149"/>
      <c r="G70" s="58"/>
      <c r="H70" s="57"/>
      <c r="I70" s="57"/>
      <c r="J70" s="57"/>
      <c r="K70" s="57"/>
      <c r="L70" s="57"/>
      <c r="M70" s="57"/>
      <c r="N70" s="57"/>
      <c r="O70" s="57"/>
      <c r="P70" s="57"/>
    </row>
    <row r="71" spans="1:21" x14ac:dyDescent="0.25">
      <c r="A71" s="1"/>
      <c r="B71" s="148"/>
      <c r="C71" s="149"/>
      <c r="D71" s="149"/>
      <c r="E71" s="149"/>
      <c r="F71" s="149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</row>
    <row r="72" spans="1:21" x14ac:dyDescent="0.25">
      <c r="A72" s="1"/>
      <c r="B72" s="146"/>
      <c r="C72" s="147"/>
      <c r="D72" s="147"/>
      <c r="E72" s="147"/>
      <c r="F72" s="147"/>
      <c r="G72" s="53"/>
      <c r="H72" s="57"/>
      <c r="I72" s="57"/>
      <c r="J72" s="57"/>
      <c r="K72" s="57"/>
      <c r="L72" s="57"/>
      <c r="M72" s="57"/>
      <c r="N72" s="57"/>
      <c r="O72" s="57"/>
      <c r="P72" s="57"/>
    </row>
    <row r="73" spans="1:21" x14ac:dyDescent="0.25">
      <c r="A73" s="1"/>
      <c r="B73" s="146"/>
      <c r="C73" s="147"/>
      <c r="D73" s="147"/>
      <c r="E73" s="147"/>
      <c r="F73" s="147"/>
      <c r="G73" s="55"/>
      <c r="H73" s="57"/>
      <c r="I73" s="57"/>
      <c r="J73" s="57"/>
      <c r="K73" s="57"/>
      <c r="L73" s="57"/>
      <c r="M73" s="57"/>
      <c r="N73" s="57"/>
      <c r="O73" s="57"/>
      <c r="P73" s="57"/>
    </row>
  </sheetData>
  <mergeCells count="18">
    <mergeCell ref="B73:F73"/>
    <mergeCell ref="B34:F34"/>
    <mergeCell ref="B35:F35"/>
    <mergeCell ref="B36:F36"/>
    <mergeCell ref="B39:P39"/>
    <mergeCell ref="G40:P40"/>
    <mergeCell ref="B67:F67"/>
    <mergeCell ref="B68:F68"/>
    <mergeCell ref="B69:F69"/>
    <mergeCell ref="B70:F70"/>
    <mergeCell ref="B71:F71"/>
    <mergeCell ref="B72:F72"/>
    <mergeCell ref="B33:F33"/>
    <mergeCell ref="B1:P1"/>
    <mergeCell ref="G2:P2"/>
    <mergeCell ref="B30:F30"/>
    <mergeCell ref="B31:F31"/>
    <mergeCell ref="B32:F3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4125C-E1B1-4974-A914-B95419B44AF4}">
  <dimension ref="A1:V67"/>
  <sheetViews>
    <sheetView workbookViewId="0">
      <selection activeCell="J25" sqref="J25"/>
    </sheetView>
  </sheetViews>
  <sheetFormatPr defaultColWidth="15.7109375" defaultRowHeight="15" x14ac:dyDescent="0.25"/>
  <cols>
    <col min="2" max="2" width="34" customWidth="1"/>
  </cols>
  <sheetData>
    <row r="1" spans="1:21" x14ac:dyDescent="0.25">
      <c r="A1" s="36"/>
      <c r="B1" s="143" t="s">
        <v>18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</row>
    <row r="2" spans="1:21" x14ac:dyDescent="0.25">
      <c r="A2" s="36"/>
      <c r="B2" s="37"/>
      <c r="C2" s="38" t="s">
        <v>19</v>
      </c>
      <c r="D2" s="39" t="s">
        <v>20</v>
      </c>
      <c r="E2" s="39" t="s">
        <v>21</v>
      </c>
      <c r="F2" s="39" t="s">
        <v>22</v>
      </c>
      <c r="G2" s="144" t="s">
        <v>23</v>
      </c>
      <c r="H2" s="145"/>
      <c r="I2" s="145"/>
      <c r="J2" s="145"/>
      <c r="K2" s="145"/>
      <c r="L2" s="145"/>
      <c r="M2" s="145"/>
      <c r="N2" s="145"/>
      <c r="O2" s="145"/>
      <c r="P2" s="145"/>
    </row>
    <row r="3" spans="1:21" x14ac:dyDescent="0.25">
      <c r="A3" s="36"/>
      <c r="B3" s="38" t="s">
        <v>24</v>
      </c>
      <c r="C3" s="37"/>
      <c r="D3" s="40"/>
      <c r="E3" s="40"/>
      <c r="F3" s="40"/>
      <c r="G3" s="40">
        <v>1</v>
      </c>
      <c r="H3" s="40">
        <f t="shared" ref="H3:P3" si="0">G3+1</f>
        <v>2</v>
      </c>
      <c r="I3" s="40">
        <f t="shared" si="0"/>
        <v>3</v>
      </c>
      <c r="J3" s="40">
        <f t="shared" si="0"/>
        <v>4</v>
      </c>
      <c r="K3" s="40">
        <f t="shared" si="0"/>
        <v>5</v>
      </c>
      <c r="L3" s="40">
        <f t="shared" si="0"/>
        <v>6</v>
      </c>
      <c r="M3" s="40">
        <f t="shared" si="0"/>
        <v>7</v>
      </c>
      <c r="N3" s="40">
        <f t="shared" si="0"/>
        <v>8</v>
      </c>
      <c r="O3" s="40">
        <f t="shared" si="0"/>
        <v>9</v>
      </c>
      <c r="P3" s="40">
        <f t="shared" si="0"/>
        <v>10</v>
      </c>
      <c r="Q3">
        <v>11</v>
      </c>
      <c r="R3">
        <v>12</v>
      </c>
      <c r="S3">
        <v>13</v>
      </c>
      <c r="T3">
        <v>14</v>
      </c>
      <c r="U3">
        <v>15</v>
      </c>
    </row>
    <row r="4" spans="1:21" ht="20.25" customHeight="1" x14ac:dyDescent="0.25">
      <c r="A4" s="36"/>
      <c r="B4" s="61" t="s">
        <v>96</v>
      </c>
      <c r="C4" s="37" t="s">
        <v>161</v>
      </c>
      <c r="D4" s="40">
        <v>2363</v>
      </c>
      <c r="E4" s="40">
        <v>4750</v>
      </c>
      <c r="F4" s="40">
        <v>0</v>
      </c>
      <c r="G4" s="40">
        <v>0</v>
      </c>
      <c r="H4" s="40">
        <f>I4*0.2</f>
        <v>134691</v>
      </c>
      <c r="I4" s="40">
        <f>J4*0.2</f>
        <v>673455</v>
      </c>
      <c r="J4" s="40">
        <f>K4*0.3</f>
        <v>3367275</v>
      </c>
      <c r="K4" s="40">
        <f>D4*E4</f>
        <v>11224250</v>
      </c>
      <c r="L4" s="40">
        <f>K4*0.6</f>
        <v>6734550</v>
      </c>
      <c r="M4" s="40">
        <f t="shared" ref="K4:U7" si="1">L4</f>
        <v>6734550</v>
      </c>
      <c r="N4" s="40">
        <f t="shared" si="1"/>
        <v>6734550</v>
      </c>
      <c r="O4" s="40">
        <f t="shared" si="1"/>
        <v>6734550</v>
      </c>
      <c r="P4" s="40">
        <f t="shared" si="1"/>
        <v>6734550</v>
      </c>
      <c r="Q4" s="40">
        <f t="shared" si="1"/>
        <v>6734550</v>
      </c>
      <c r="R4" s="40">
        <f t="shared" si="1"/>
        <v>6734550</v>
      </c>
      <c r="S4" s="40">
        <f t="shared" si="1"/>
        <v>6734550</v>
      </c>
      <c r="T4" s="40">
        <f t="shared" si="1"/>
        <v>6734550</v>
      </c>
      <c r="U4" s="40">
        <f t="shared" si="1"/>
        <v>6734550</v>
      </c>
    </row>
    <row r="5" spans="1:21" ht="24.75" customHeight="1" x14ac:dyDescent="0.25">
      <c r="A5" s="36"/>
      <c r="B5" s="61" t="s">
        <v>97</v>
      </c>
      <c r="C5" s="37" t="s">
        <v>86</v>
      </c>
      <c r="D5" s="40">
        <v>1</v>
      </c>
      <c r="E5" s="40">
        <v>0</v>
      </c>
      <c r="F5" s="40">
        <v>0</v>
      </c>
      <c r="G5" s="40"/>
      <c r="H5" s="40">
        <f>E5</f>
        <v>0</v>
      </c>
      <c r="I5" s="40">
        <f>E5</f>
        <v>0</v>
      </c>
      <c r="J5" s="40">
        <f t="shared" ref="J5" si="2">I5</f>
        <v>0</v>
      </c>
      <c r="K5" s="40">
        <f t="shared" si="1"/>
        <v>0</v>
      </c>
      <c r="L5" s="40">
        <f t="shared" si="1"/>
        <v>0</v>
      </c>
      <c r="M5" s="40">
        <f t="shared" si="1"/>
        <v>0</v>
      </c>
      <c r="N5" s="40">
        <f t="shared" si="1"/>
        <v>0</v>
      </c>
      <c r="O5" s="40">
        <f t="shared" si="1"/>
        <v>0</v>
      </c>
      <c r="P5" s="40">
        <f t="shared" si="1"/>
        <v>0</v>
      </c>
      <c r="Q5" s="40">
        <f t="shared" si="1"/>
        <v>0</v>
      </c>
      <c r="R5" s="40">
        <f t="shared" si="1"/>
        <v>0</v>
      </c>
      <c r="S5" s="40">
        <f t="shared" si="1"/>
        <v>0</v>
      </c>
      <c r="T5" s="40">
        <f t="shared" si="1"/>
        <v>0</v>
      </c>
      <c r="U5" s="40">
        <f t="shared" si="1"/>
        <v>0</v>
      </c>
    </row>
    <row r="6" spans="1:21" ht="24.75" customHeight="1" x14ac:dyDescent="0.25">
      <c r="A6" s="36"/>
      <c r="B6" s="61"/>
      <c r="C6" s="37"/>
      <c r="D6" s="40"/>
      <c r="E6" s="40"/>
      <c r="F6" s="40"/>
      <c r="G6" s="40"/>
      <c r="H6" s="40"/>
      <c r="I6" s="40"/>
      <c r="J6" s="40"/>
      <c r="K6" s="40">
        <f t="shared" si="1"/>
        <v>0</v>
      </c>
      <c r="L6" s="40">
        <f t="shared" si="1"/>
        <v>0</v>
      </c>
      <c r="M6" s="40">
        <f t="shared" si="1"/>
        <v>0</v>
      </c>
      <c r="N6" s="40">
        <f t="shared" si="1"/>
        <v>0</v>
      </c>
      <c r="O6" s="40">
        <f t="shared" si="1"/>
        <v>0</v>
      </c>
      <c r="P6" s="40">
        <f t="shared" si="1"/>
        <v>0</v>
      </c>
      <c r="Q6" s="40">
        <f t="shared" si="1"/>
        <v>0</v>
      </c>
      <c r="R6" s="40">
        <f t="shared" si="1"/>
        <v>0</v>
      </c>
      <c r="S6" s="40">
        <f t="shared" si="1"/>
        <v>0</v>
      </c>
      <c r="T6" s="40">
        <f t="shared" si="1"/>
        <v>0</v>
      </c>
      <c r="U6" s="40">
        <f t="shared" si="1"/>
        <v>0</v>
      </c>
    </row>
    <row r="7" spans="1:21" x14ac:dyDescent="0.25">
      <c r="A7" s="36"/>
      <c r="B7" s="62"/>
      <c r="C7" s="37"/>
      <c r="D7" s="40"/>
      <c r="E7" s="40"/>
      <c r="F7" s="40"/>
      <c r="G7" s="40">
        <f>F7</f>
        <v>0</v>
      </c>
      <c r="H7" s="40">
        <f>F7</f>
        <v>0</v>
      </c>
      <c r="I7" s="40">
        <f>G7</f>
        <v>0</v>
      </c>
      <c r="J7" s="40">
        <f>H7</f>
        <v>0</v>
      </c>
      <c r="K7" s="40">
        <f t="shared" si="1"/>
        <v>0</v>
      </c>
      <c r="L7" s="40">
        <f t="shared" si="1"/>
        <v>0</v>
      </c>
      <c r="M7" s="40">
        <f t="shared" si="1"/>
        <v>0</v>
      </c>
      <c r="N7" s="40">
        <f t="shared" si="1"/>
        <v>0</v>
      </c>
      <c r="O7" s="40">
        <f t="shared" si="1"/>
        <v>0</v>
      </c>
      <c r="P7" s="40">
        <f t="shared" si="1"/>
        <v>0</v>
      </c>
      <c r="Q7" s="40">
        <f t="shared" si="1"/>
        <v>0</v>
      </c>
      <c r="R7" s="40">
        <f t="shared" si="1"/>
        <v>0</v>
      </c>
      <c r="S7" s="40">
        <f t="shared" si="1"/>
        <v>0</v>
      </c>
      <c r="T7" s="40">
        <f t="shared" si="1"/>
        <v>0</v>
      </c>
      <c r="U7" s="40">
        <f t="shared" si="1"/>
        <v>0</v>
      </c>
    </row>
    <row r="8" spans="1:21" x14ac:dyDescent="0.25">
      <c r="A8" s="36"/>
      <c r="B8" s="38" t="s">
        <v>30</v>
      </c>
      <c r="C8" s="37"/>
      <c r="D8" s="40"/>
      <c r="E8" s="40"/>
      <c r="F8" s="39">
        <f t="shared" ref="F8:U8" si="3">SUM(F4:F7)</f>
        <v>0</v>
      </c>
      <c r="G8" s="39">
        <f t="shared" si="3"/>
        <v>0</v>
      </c>
      <c r="H8" s="39">
        <f t="shared" si="3"/>
        <v>134691</v>
      </c>
      <c r="I8" s="39">
        <f t="shared" si="3"/>
        <v>673455</v>
      </c>
      <c r="J8" s="39">
        <f t="shared" si="3"/>
        <v>3367275</v>
      </c>
      <c r="K8" s="39">
        <f t="shared" si="3"/>
        <v>11224250</v>
      </c>
      <c r="L8" s="39">
        <f t="shared" si="3"/>
        <v>6734550</v>
      </c>
      <c r="M8" s="39">
        <f t="shared" si="3"/>
        <v>6734550</v>
      </c>
      <c r="N8" s="39">
        <f t="shared" si="3"/>
        <v>6734550</v>
      </c>
      <c r="O8" s="39">
        <f t="shared" si="3"/>
        <v>6734550</v>
      </c>
      <c r="P8" s="39">
        <f t="shared" si="3"/>
        <v>6734550</v>
      </c>
      <c r="Q8" s="39">
        <f t="shared" si="3"/>
        <v>6734550</v>
      </c>
      <c r="R8" s="39">
        <f t="shared" si="3"/>
        <v>6734550</v>
      </c>
      <c r="S8" s="39">
        <f t="shared" si="3"/>
        <v>6734550</v>
      </c>
      <c r="T8" s="39">
        <f t="shared" si="3"/>
        <v>6734550</v>
      </c>
      <c r="U8" s="39">
        <f t="shared" si="3"/>
        <v>6734550</v>
      </c>
    </row>
    <row r="9" spans="1:21" x14ac:dyDescent="0.25">
      <c r="A9" s="36"/>
      <c r="B9" s="37"/>
      <c r="C9" s="37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</row>
    <row r="10" spans="1:21" x14ac:dyDescent="0.25">
      <c r="A10" s="36"/>
      <c r="B10" s="43" t="s">
        <v>31</v>
      </c>
      <c r="C10" s="37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</row>
    <row r="11" spans="1:21" x14ac:dyDescent="0.25">
      <c r="A11" s="36"/>
      <c r="B11" s="38" t="s">
        <v>32</v>
      </c>
      <c r="C11" s="37"/>
      <c r="D11" s="40"/>
      <c r="E11" s="40"/>
      <c r="F11" s="44"/>
      <c r="G11" s="40"/>
      <c r="H11" s="40"/>
      <c r="I11" s="40"/>
      <c r="J11" s="40"/>
      <c r="K11" s="40"/>
      <c r="L11" s="40"/>
      <c r="M11" s="40"/>
      <c r="N11" s="40"/>
      <c r="O11" s="40"/>
      <c r="P11" s="40"/>
    </row>
    <row r="12" spans="1:21" x14ac:dyDescent="0.25">
      <c r="A12" s="36"/>
      <c r="B12" s="63" t="s">
        <v>81</v>
      </c>
      <c r="C12" s="37" t="s">
        <v>93</v>
      </c>
      <c r="D12" s="40">
        <v>10</v>
      </c>
      <c r="E12" s="40">
        <v>300000</v>
      </c>
      <c r="F12" s="40">
        <f>D12*E12</f>
        <v>3000000</v>
      </c>
      <c r="G12" s="40">
        <f>D12*E12</f>
        <v>3000000</v>
      </c>
      <c r="H12" s="40">
        <f>G12</f>
        <v>3000000</v>
      </c>
      <c r="I12" s="40">
        <v>0</v>
      </c>
      <c r="J12" s="40"/>
      <c r="K12" s="40"/>
      <c r="L12" s="40">
        <v>10000</v>
      </c>
      <c r="M12" s="40"/>
      <c r="N12" s="40"/>
      <c r="O12" s="40">
        <v>10000</v>
      </c>
      <c r="P12" s="40"/>
      <c r="R12">
        <v>10000</v>
      </c>
      <c r="U12" s="48">
        <v>10000</v>
      </c>
    </row>
    <row r="13" spans="1:21" x14ac:dyDescent="0.25">
      <c r="A13" s="36"/>
      <c r="B13" s="38" t="s">
        <v>37</v>
      </c>
      <c r="C13" s="37"/>
      <c r="D13" s="40"/>
      <c r="E13" s="40"/>
      <c r="F13" s="39">
        <f t="shared" ref="F13:U13" si="4">SUM(F12:F12)</f>
        <v>3000000</v>
      </c>
      <c r="G13" s="39">
        <f t="shared" si="4"/>
        <v>3000000</v>
      </c>
      <c r="H13" s="39">
        <f t="shared" si="4"/>
        <v>3000000</v>
      </c>
      <c r="I13" s="39">
        <f t="shared" si="4"/>
        <v>0</v>
      </c>
      <c r="J13" s="39">
        <f t="shared" si="4"/>
        <v>0</v>
      </c>
      <c r="K13" s="39">
        <f t="shared" si="4"/>
        <v>0</v>
      </c>
      <c r="L13" s="39">
        <f t="shared" si="4"/>
        <v>10000</v>
      </c>
      <c r="M13" s="39">
        <f t="shared" si="4"/>
        <v>0</v>
      </c>
      <c r="N13" s="39">
        <f t="shared" si="4"/>
        <v>0</v>
      </c>
      <c r="O13" s="39">
        <f t="shared" si="4"/>
        <v>10000</v>
      </c>
      <c r="P13" s="39">
        <f t="shared" si="4"/>
        <v>0</v>
      </c>
      <c r="Q13" s="39">
        <f t="shared" si="4"/>
        <v>0</v>
      </c>
      <c r="R13" s="39">
        <f t="shared" si="4"/>
        <v>10000</v>
      </c>
      <c r="S13" s="39">
        <f t="shared" si="4"/>
        <v>0</v>
      </c>
      <c r="T13" s="39">
        <f t="shared" si="4"/>
        <v>0</v>
      </c>
      <c r="U13" s="39">
        <f t="shared" si="4"/>
        <v>10000</v>
      </c>
    </row>
    <row r="14" spans="1:21" x14ac:dyDescent="0.25">
      <c r="A14" s="36"/>
      <c r="B14" s="37"/>
      <c r="C14" s="37"/>
      <c r="D14" s="40"/>
      <c r="E14" s="40"/>
      <c r="F14" s="40">
        <f t="shared" ref="F14:F15" si="5">D14*E14</f>
        <v>0</v>
      </c>
      <c r="G14" s="40"/>
      <c r="H14" s="40"/>
      <c r="I14" s="40"/>
      <c r="J14" s="40"/>
      <c r="K14" s="40"/>
      <c r="L14" s="40"/>
      <c r="M14" s="40"/>
      <c r="N14" s="40"/>
      <c r="O14" s="40"/>
      <c r="P14" s="40"/>
    </row>
    <row r="15" spans="1:21" x14ac:dyDescent="0.25">
      <c r="A15" s="36"/>
      <c r="B15" s="38" t="s">
        <v>38</v>
      </c>
      <c r="C15" s="37"/>
      <c r="D15" s="40"/>
      <c r="E15" s="40"/>
      <c r="F15" s="40">
        <f t="shared" si="5"/>
        <v>0</v>
      </c>
      <c r="G15" s="40"/>
      <c r="H15" s="40"/>
      <c r="I15" s="40"/>
      <c r="J15" s="40"/>
      <c r="K15" s="40"/>
      <c r="L15" s="40"/>
      <c r="M15" s="40"/>
      <c r="N15" s="40"/>
      <c r="O15" s="40"/>
      <c r="P15" s="40"/>
    </row>
    <row r="16" spans="1:21" x14ac:dyDescent="0.25">
      <c r="B16" s="64" t="s">
        <v>229</v>
      </c>
      <c r="C16" s="37" t="s">
        <v>40</v>
      </c>
      <c r="D16" s="40">
        <v>10</v>
      </c>
      <c r="E16" s="40">
        <v>1000</v>
      </c>
      <c r="F16" s="40">
        <f>E16*D16</f>
        <v>10000</v>
      </c>
      <c r="G16" s="40">
        <f>F16</f>
        <v>10000</v>
      </c>
      <c r="H16" s="40">
        <f>G16</f>
        <v>10000</v>
      </c>
      <c r="I16" s="40">
        <f t="shared" ref="I16:U20" si="6">H16</f>
        <v>10000</v>
      </c>
      <c r="J16" s="40">
        <f t="shared" si="6"/>
        <v>10000</v>
      </c>
      <c r="K16" s="40">
        <f t="shared" si="6"/>
        <v>10000</v>
      </c>
      <c r="L16" s="40">
        <f t="shared" si="6"/>
        <v>10000</v>
      </c>
      <c r="M16" s="40">
        <f t="shared" si="6"/>
        <v>10000</v>
      </c>
      <c r="N16" s="40">
        <f t="shared" si="6"/>
        <v>10000</v>
      </c>
      <c r="O16" s="40">
        <f t="shared" si="6"/>
        <v>10000</v>
      </c>
      <c r="P16" s="40">
        <f t="shared" si="6"/>
        <v>10000</v>
      </c>
      <c r="Q16" s="40">
        <f t="shared" si="6"/>
        <v>10000</v>
      </c>
      <c r="R16" s="40">
        <f t="shared" si="6"/>
        <v>10000</v>
      </c>
      <c r="S16" s="40">
        <f t="shared" si="6"/>
        <v>10000</v>
      </c>
      <c r="T16" s="40">
        <f t="shared" si="6"/>
        <v>10000</v>
      </c>
      <c r="U16" s="40">
        <f t="shared" si="6"/>
        <v>10000</v>
      </c>
    </row>
    <row r="17" spans="1:22" x14ac:dyDescent="0.25">
      <c r="B17" s="65" t="s">
        <v>99</v>
      </c>
      <c r="C17" s="37" t="s">
        <v>40</v>
      </c>
      <c r="D17" s="40">
        <v>200</v>
      </c>
      <c r="E17" s="40">
        <v>1500</v>
      </c>
      <c r="F17" s="40">
        <f>D17*E17</f>
        <v>300000</v>
      </c>
      <c r="G17" s="40">
        <f>F17</f>
        <v>300000</v>
      </c>
      <c r="H17" s="40">
        <f t="shared" ref="H17:T20" si="7">G17</f>
        <v>300000</v>
      </c>
      <c r="I17" s="40">
        <f t="shared" si="6"/>
        <v>300000</v>
      </c>
      <c r="J17" s="40">
        <f t="shared" si="6"/>
        <v>300000</v>
      </c>
      <c r="K17" s="40">
        <f t="shared" si="7"/>
        <v>300000</v>
      </c>
      <c r="L17" s="40">
        <f t="shared" si="6"/>
        <v>300000</v>
      </c>
      <c r="M17" s="40">
        <f t="shared" si="6"/>
        <v>300000</v>
      </c>
      <c r="N17" s="40">
        <f t="shared" si="7"/>
        <v>300000</v>
      </c>
      <c r="O17" s="40">
        <f t="shared" si="6"/>
        <v>300000</v>
      </c>
      <c r="P17" s="40">
        <f t="shared" si="6"/>
        <v>300000</v>
      </c>
      <c r="Q17" s="40">
        <f t="shared" si="7"/>
        <v>300000</v>
      </c>
      <c r="R17" s="40">
        <f t="shared" si="6"/>
        <v>300000</v>
      </c>
      <c r="S17" s="40">
        <f t="shared" si="6"/>
        <v>300000</v>
      </c>
      <c r="T17" s="40">
        <f t="shared" si="7"/>
        <v>300000</v>
      </c>
      <c r="U17" s="40">
        <f t="shared" si="6"/>
        <v>300000</v>
      </c>
    </row>
    <row r="18" spans="1:22" x14ac:dyDescent="0.25">
      <c r="A18" s="36"/>
      <c r="B18" s="45" t="s">
        <v>230</v>
      </c>
      <c r="C18" s="37" t="s">
        <v>40</v>
      </c>
      <c r="D18" s="40"/>
      <c r="E18" s="40"/>
      <c r="F18" s="40">
        <f>J4*0.4</f>
        <v>1346910</v>
      </c>
      <c r="G18" s="40">
        <f>F18</f>
        <v>1346910</v>
      </c>
      <c r="H18" s="40">
        <f>G18</f>
        <v>1346910</v>
      </c>
      <c r="I18" s="40">
        <f t="shared" si="6"/>
        <v>1346910</v>
      </c>
      <c r="J18" s="40">
        <f>J4*0.75</f>
        <v>2525456.25</v>
      </c>
      <c r="K18" s="40">
        <f t="shared" si="7"/>
        <v>2525456.25</v>
      </c>
      <c r="L18" s="40">
        <f t="shared" si="6"/>
        <v>2525456.25</v>
      </c>
      <c r="M18" s="40">
        <f t="shared" si="6"/>
        <v>2525456.25</v>
      </c>
      <c r="N18" s="40">
        <f t="shared" si="7"/>
        <v>2525456.25</v>
      </c>
      <c r="O18" s="40">
        <f t="shared" si="6"/>
        <v>2525456.25</v>
      </c>
      <c r="P18" s="40">
        <f t="shared" si="6"/>
        <v>2525456.25</v>
      </c>
      <c r="Q18" s="40">
        <f t="shared" si="7"/>
        <v>2525456.25</v>
      </c>
      <c r="R18" s="40">
        <f t="shared" si="6"/>
        <v>2525456.25</v>
      </c>
      <c r="S18" s="40">
        <f t="shared" si="6"/>
        <v>2525456.25</v>
      </c>
      <c r="T18" s="40">
        <f t="shared" si="7"/>
        <v>2525456.25</v>
      </c>
      <c r="U18" s="40">
        <f t="shared" si="6"/>
        <v>2525456.25</v>
      </c>
    </row>
    <row r="19" spans="1:22" x14ac:dyDescent="0.25">
      <c r="A19" s="36"/>
      <c r="B19" s="45" t="s">
        <v>83</v>
      </c>
      <c r="C19" s="37" t="s">
        <v>40</v>
      </c>
      <c r="D19" s="40"/>
      <c r="E19" s="40"/>
      <c r="F19" s="40">
        <v>905000</v>
      </c>
      <c r="G19" s="40">
        <f>F19</f>
        <v>905000</v>
      </c>
      <c r="H19" s="40">
        <f>G19</f>
        <v>905000</v>
      </c>
      <c r="I19" s="40">
        <f t="shared" si="6"/>
        <v>905000</v>
      </c>
      <c r="J19" s="40">
        <v>10000</v>
      </c>
      <c r="K19" s="40">
        <f t="shared" si="7"/>
        <v>10000</v>
      </c>
      <c r="L19" s="40">
        <f t="shared" si="6"/>
        <v>10000</v>
      </c>
      <c r="M19" s="40">
        <f t="shared" si="6"/>
        <v>10000</v>
      </c>
      <c r="N19" s="40">
        <f t="shared" si="7"/>
        <v>10000</v>
      </c>
      <c r="O19" s="40">
        <f t="shared" si="6"/>
        <v>10000</v>
      </c>
      <c r="P19" s="40">
        <f t="shared" si="6"/>
        <v>10000</v>
      </c>
      <c r="Q19" s="40">
        <f t="shared" si="7"/>
        <v>10000</v>
      </c>
      <c r="R19" s="40">
        <f t="shared" si="6"/>
        <v>10000</v>
      </c>
      <c r="S19" s="40">
        <f t="shared" si="6"/>
        <v>10000</v>
      </c>
      <c r="T19" s="40">
        <f t="shared" si="7"/>
        <v>10000</v>
      </c>
      <c r="U19" s="40">
        <f t="shared" si="6"/>
        <v>10000</v>
      </c>
      <c r="V19" s="46"/>
    </row>
    <row r="20" spans="1:22" x14ac:dyDescent="0.25">
      <c r="A20" s="36"/>
      <c r="B20" s="45" t="s">
        <v>232</v>
      </c>
      <c r="C20" s="37" t="s">
        <v>40</v>
      </c>
      <c r="D20" s="40"/>
      <c r="E20" s="40"/>
      <c r="F20" s="40">
        <v>900000</v>
      </c>
      <c r="G20" s="40">
        <f>F20</f>
        <v>900000</v>
      </c>
      <c r="H20" s="40">
        <f>G20</f>
        <v>900000</v>
      </c>
      <c r="I20" s="40">
        <f t="shared" si="6"/>
        <v>900000</v>
      </c>
      <c r="J20" s="40">
        <f t="shared" si="6"/>
        <v>900000</v>
      </c>
      <c r="K20" s="40">
        <f t="shared" si="7"/>
        <v>900000</v>
      </c>
      <c r="L20" s="40">
        <f t="shared" si="6"/>
        <v>900000</v>
      </c>
      <c r="M20" s="40">
        <f t="shared" si="6"/>
        <v>900000</v>
      </c>
      <c r="N20" s="40">
        <f t="shared" si="7"/>
        <v>900000</v>
      </c>
      <c r="O20" s="40">
        <f t="shared" si="6"/>
        <v>900000</v>
      </c>
      <c r="P20" s="40">
        <f t="shared" si="6"/>
        <v>900000</v>
      </c>
      <c r="Q20" s="40">
        <f t="shared" si="7"/>
        <v>900000</v>
      </c>
      <c r="R20" s="40">
        <f t="shared" si="6"/>
        <v>900000</v>
      </c>
      <c r="S20" s="40">
        <f t="shared" si="6"/>
        <v>900000</v>
      </c>
      <c r="T20" s="40">
        <f t="shared" si="7"/>
        <v>900000</v>
      </c>
      <c r="U20" s="40">
        <f t="shared" si="6"/>
        <v>900000</v>
      </c>
      <c r="V20" s="46"/>
    </row>
    <row r="21" spans="1:22" x14ac:dyDescent="0.25">
      <c r="A21" s="36"/>
      <c r="B21" s="45" t="s">
        <v>84</v>
      </c>
      <c r="C21" s="37" t="s">
        <v>40</v>
      </c>
      <c r="D21" s="40"/>
      <c r="E21" s="40"/>
      <c r="F21" s="40">
        <v>8900</v>
      </c>
      <c r="G21" s="40">
        <f t="shared" ref="G21:U21" si="8">F21</f>
        <v>8900</v>
      </c>
      <c r="H21" s="40">
        <f t="shared" si="8"/>
        <v>8900</v>
      </c>
      <c r="I21" s="40">
        <f t="shared" si="8"/>
        <v>8900</v>
      </c>
      <c r="J21" s="40">
        <f t="shared" si="8"/>
        <v>8900</v>
      </c>
      <c r="K21" s="40">
        <f t="shared" si="8"/>
        <v>8900</v>
      </c>
      <c r="L21" s="40">
        <f t="shared" si="8"/>
        <v>8900</v>
      </c>
      <c r="M21" s="40">
        <f t="shared" si="8"/>
        <v>8900</v>
      </c>
      <c r="N21" s="40">
        <f t="shared" si="8"/>
        <v>8900</v>
      </c>
      <c r="O21" s="40">
        <f t="shared" si="8"/>
        <v>8900</v>
      </c>
      <c r="P21" s="40">
        <f t="shared" si="8"/>
        <v>8900</v>
      </c>
      <c r="Q21" s="40">
        <f t="shared" si="8"/>
        <v>8900</v>
      </c>
      <c r="R21" s="40">
        <f t="shared" si="8"/>
        <v>8900</v>
      </c>
      <c r="S21" s="40">
        <f t="shared" si="8"/>
        <v>8900</v>
      </c>
      <c r="T21" s="40">
        <f t="shared" si="8"/>
        <v>8900</v>
      </c>
      <c r="U21" s="40">
        <f t="shared" si="8"/>
        <v>8900</v>
      </c>
      <c r="V21" s="46"/>
    </row>
    <row r="22" spans="1:22" x14ac:dyDescent="0.25">
      <c r="A22" s="36"/>
      <c r="B22" s="45"/>
      <c r="C22" s="37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</row>
    <row r="23" spans="1:22" x14ac:dyDescent="0.25">
      <c r="A23" s="36"/>
      <c r="B23" s="38" t="s">
        <v>44</v>
      </c>
      <c r="C23" s="37"/>
      <c r="D23" s="40"/>
      <c r="E23" s="40"/>
      <c r="F23" s="39">
        <f>SUM(F16:F22)</f>
        <v>3470810</v>
      </c>
      <c r="G23" s="39">
        <f t="shared" ref="G23:U23" si="9">SUM(G16:G22)</f>
        <v>3470810</v>
      </c>
      <c r="H23" s="39">
        <f t="shared" si="9"/>
        <v>3470810</v>
      </c>
      <c r="I23" s="39">
        <f t="shared" si="9"/>
        <v>3470810</v>
      </c>
      <c r="J23" s="39">
        <f t="shared" si="9"/>
        <v>3754356.25</v>
      </c>
      <c r="K23" s="39">
        <f t="shared" si="9"/>
        <v>3754356.25</v>
      </c>
      <c r="L23" s="39">
        <f t="shared" si="9"/>
        <v>3754356.25</v>
      </c>
      <c r="M23" s="39">
        <f t="shared" si="9"/>
        <v>3754356.25</v>
      </c>
      <c r="N23" s="39">
        <f t="shared" si="9"/>
        <v>3754356.25</v>
      </c>
      <c r="O23" s="39">
        <f t="shared" si="9"/>
        <v>3754356.25</v>
      </c>
      <c r="P23" s="39">
        <f t="shared" si="9"/>
        <v>3754356.25</v>
      </c>
      <c r="Q23" s="39">
        <f t="shared" si="9"/>
        <v>3754356.25</v>
      </c>
      <c r="R23" s="39">
        <f t="shared" si="9"/>
        <v>3754356.25</v>
      </c>
      <c r="S23" s="39">
        <f t="shared" si="9"/>
        <v>3754356.25</v>
      </c>
      <c r="T23" s="39">
        <f t="shared" si="9"/>
        <v>3754356.25</v>
      </c>
      <c r="U23" s="39">
        <f t="shared" si="9"/>
        <v>3754356.25</v>
      </c>
    </row>
    <row r="24" spans="1:22" x14ac:dyDescent="0.25">
      <c r="A24" s="36"/>
      <c r="B24" s="47"/>
      <c r="C24" s="37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</row>
    <row r="25" spans="1:22" x14ac:dyDescent="0.25">
      <c r="A25" s="36"/>
      <c r="B25" s="38" t="s">
        <v>45</v>
      </c>
      <c r="C25" s="37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</row>
    <row r="26" spans="1:22" x14ac:dyDescent="0.25">
      <c r="A26" s="36"/>
      <c r="B26" s="37" t="s">
        <v>46</v>
      </c>
      <c r="C26" s="37" t="s">
        <v>98</v>
      </c>
      <c r="D26" s="40">
        <v>1</v>
      </c>
      <c r="E26" s="49">
        <f>E12/15</f>
        <v>20000</v>
      </c>
      <c r="F26" s="40">
        <f>D26*E26</f>
        <v>20000</v>
      </c>
      <c r="G26" s="40"/>
      <c r="H26" s="40">
        <f>D26*E26</f>
        <v>20000</v>
      </c>
      <c r="I26" s="40">
        <f t="shared" ref="I26:U26" si="10">H26</f>
        <v>20000</v>
      </c>
      <c r="J26" s="40">
        <f t="shared" si="10"/>
        <v>20000</v>
      </c>
      <c r="K26" s="40">
        <f t="shared" si="10"/>
        <v>20000</v>
      </c>
      <c r="L26" s="40">
        <f t="shared" si="10"/>
        <v>20000</v>
      </c>
      <c r="M26" s="40">
        <f t="shared" si="10"/>
        <v>20000</v>
      </c>
      <c r="N26" s="40">
        <f t="shared" si="10"/>
        <v>20000</v>
      </c>
      <c r="O26" s="40">
        <f t="shared" si="10"/>
        <v>20000</v>
      </c>
      <c r="P26" s="40">
        <f t="shared" si="10"/>
        <v>20000</v>
      </c>
      <c r="Q26" s="40">
        <f t="shared" si="10"/>
        <v>20000</v>
      </c>
      <c r="R26" s="40">
        <f t="shared" si="10"/>
        <v>20000</v>
      </c>
      <c r="S26" s="40">
        <f t="shared" si="10"/>
        <v>20000</v>
      </c>
      <c r="T26" s="40">
        <f t="shared" si="10"/>
        <v>20000</v>
      </c>
      <c r="U26" s="40">
        <f t="shared" si="10"/>
        <v>20000</v>
      </c>
      <c r="V26" s="48">
        <f>SUM(H26:U26)</f>
        <v>280000</v>
      </c>
    </row>
    <row r="27" spans="1:22" x14ac:dyDescent="0.25">
      <c r="A27" s="36"/>
      <c r="B27" s="38" t="s">
        <v>48</v>
      </c>
      <c r="C27" s="37"/>
      <c r="D27" s="40"/>
      <c r="E27" s="40"/>
      <c r="F27" s="39">
        <f t="shared" ref="F27:U27" si="11">SUM(F26:F26)</f>
        <v>20000</v>
      </c>
      <c r="G27" s="39">
        <f t="shared" si="11"/>
        <v>0</v>
      </c>
      <c r="H27" s="39">
        <f t="shared" si="11"/>
        <v>20000</v>
      </c>
      <c r="I27" s="39">
        <f t="shared" si="11"/>
        <v>20000</v>
      </c>
      <c r="J27" s="39">
        <f t="shared" si="11"/>
        <v>20000</v>
      </c>
      <c r="K27" s="39">
        <f t="shared" si="11"/>
        <v>20000</v>
      </c>
      <c r="L27" s="39">
        <f t="shared" si="11"/>
        <v>20000</v>
      </c>
      <c r="M27" s="39">
        <f t="shared" si="11"/>
        <v>20000</v>
      </c>
      <c r="N27" s="39">
        <f t="shared" si="11"/>
        <v>20000</v>
      </c>
      <c r="O27" s="39">
        <f t="shared" si="11"/>
        <v>20000</v>
      </c>
      <c r="P27" s="39">
        <f t="shared" si="11"/>
        <v>20000</v>
      </c>
      <c r="Q27" s="39">
        <f t="shared" si="11"/>
        <v>20000</v>
      </c>
      <c r="R27" s="39">
        <f t="shared" si="11"/>
        <v>20000</v>
      </c>
      <c r="S27" s="39">
        <f t="shared" si="11"/>
        <v>20000</v>
      </c>
      <c r="T27" s="39">
        <f t="shared" si="11"/>
        <v>20000</v>
      </c>
      <c r="U27" s="39">
        <f t="shared" si="11"/>
        <v>20000</v>
      </c>
    </row>
    <row r="28" spans="1:22" x14ac:dyDescent="0.25">
      <c r="A28" s="36"/>
      <c r="B28" s="38" t="s">
        <v>49</v>
      </c>
      <c r="C28" s="37"/>
      <c r="D28" s="40"/>
      <c r="E28" s="40"/>
      <c r="F28" s="39">
        <f t="shared" ref="F28:U28" si="12">F13+F23+F27</f>
        <v>6490810</v>
      </c>
      <c r="G28" s="39">
        <f t="shared" si="12"/>
        <v>6470810</v>
      </c>
      <c r="H28" s="39">
        <f t="shared" si="12"/>
        <v>6490810</v>
      </c>
      <c r="I28" s="39">
        <f t="shared" si="12"/>
        <v>3490810</v>
      </c>
      <c r="J28" s="39">
        <f t="shared" si="12"/>
        <v>3774356.25</v>
      </c>
      <c r="K28" s="39">
        <f t="shared" si="12"/>
        <v>3774356.25</v>
      </c>
      <c r="L28" s="39">
        <f t="shared" si="12"/>
        <v>3784356.25</v>
      </c>
      <c r="M28" s="39">
        <f t="shared" si="12"/>
        <v>3774356.25</v>
      </c>
      <c r="N28" s="39">
        <f t="shared" si="12"/>
        <v>3774356.25</v>
      </c>
      <c r="O28" s="39">
        <f t="shared" si="12"/>
        <v>3784356.25</v>
      </c>
      <c r="P28" s="39">
        <f t="shared" si="12"/>
        <v>3774356.25</v>
      </c>
      <c r="Q28" s="39">
        <f t="shared" si="12"/>
        <v>3774356.25</v>
      </c>
      <c r="R28" s="39">
        <f t="shared" si="12"/>
        <v>3784356.25</v>
      </c>
      <c r="S28" s="39">
        <f t="shared" si="12"/>
        <v>3774356.25</v>
      </c>
      <c r="T28" s="39">
        <f t="shared" si="12"/>
        <v>3774356.25</v>
      </c>
      <c r="U28" s="39">
        <f t="shared" si="12"/>
        <v>3784356.25</v>
      </c>
    </row>
    <row r="29" spans="1:22" x14ac:dyDescent="0.25">
      <c r="A29" s="36"/>
      <c r="B29" s="38"/>
      <c r="C29" s="37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</row>
    <row r="30" spans="1:22" x14ac:dyDescent="0.25">
      <c r="A30" s="36"/>
      <c r="B30" s="38" t="s">
        <v>50</v>
      </c>
      <c r="C30" s="37" t="s">
        <v>88</v>
      </c>
      <c r="D30" s="40"/>
      <c r="E30" s="40"/>
      <c r="F30" s="40"/>
      <c r="G30" s="39">
        <f t="shared" ref="G30:U30" si="13">G8-G13-G23</f>
        <v>-6470810</v>
      </c>
      <c r="H30" s="39">
        <f t="shared" si="13"/>
        <v>-6336119</v>
      </c>
      <c r="I30" s="39">
        <f t="shared" si="13"/>
        <v>-2797355</v>
      </c>
      <c r="J30" s="39">
        <f t="shared" si="13"/>
        <v>-387081.25</v>
      </c>
      <c r="K30" s="39">
        <f t="shared" si="13"/>
        <v>7469893.75</v>
      </c>
      <c r="L30" s="39">
        <f t="shared" si="13"/>
        <v>2970193.75</v>
      </c>
      <c r="M30" s="39">
        <f t="shared" si="13"/>
        <v>2980193.75</v>
      </c>
      <c r="N30" s="39">
        <f t="shared" si="13"/>
        <v>2980193.75</v>
      </c>
      <c r="O30" s="39">
        <f t="shared" si="13"/>
        <v>2970193.75</v>
      </c>
      <c r="P30" s="39">
        <f t="shared" si="13"/>
        <v>2980193.75</v>
      </c>
      <c r="Q30" s="39">
        <f t="shared" si="13"/>
        <v>2980193.75</v>
      </c>
      <c r="R30" s="39">
        <f t="shared" si="13"/>
        <v>2970193.75</v>
      </c>
      <c r="S30" s="39">
        <f t="shared" si="13"/>
        <v>2980193.75</v>
      </c>
      <c r="T30" s="39">
        <f t="shared" si="13"/>
        <v>2980193.75</v>
      </c>
      <c r="U30" s="39">
        <f t="shared" si="13"/>
        <v>2970193.75</v>
      </c>
    </row>
    <row r="31" spans="1:22" x14ac:dyDescent="0.25">
      <c r="A31" s="36"/>
      <c r="B31" s="38" t="s">
        <v>71</v>
      </c>
      <c r="C31" s="37" t="s">
        <v>88</v>
      </c>
      <c r="D31" s="40"/>
      <c r="E31" s="40"/>
      <c r="F31" s="40"/>
      <c r="G31" s="39">
        <f>G30-G27</f>
        <v>-6470810</v>
      </c>
      <c r="H31" s="39">
        <f>H30-H27</f>
        <v>-6356119</v>
      </c>
      <c r="I31" s="39">
        <f>I30-I27</f>
        <v>-2817355</v>
      </c>
      <c r="J31" s="39">
        <f>J30-J27</f>
        <v>-407081.25</v>
      </c>
      <c r="K31" s="39">
        <f>K30-K27</f>
        <v>7449893.75</v>
      </c>
      <c r="L31" s="39">
        <f t="shared" ref="L31:U31" si="14">L30-L27</f>
        <v>2950193.75</v>
      </c>
      <c r="M31" s="39">
        <f t="shared" si="14"/>
        <v>2960193.75</v>
      </c>
      <c r="N31" s="39">
        <f t="shared" si="14"/>
        <v>2960193.75</v>
      </c>
      <c r="O31" s="39">
        <f t="shared" si="14"/>
        <v>2950193.75</v>
      </c>
      <c r="P31" s="39">
        <f t="shared" si="14"/>
        <v>2960193.75</v>
      </c>
      <c r="Q31" s="39">
        <f t="shared" si="14"/>
        <v>2960193.75</v>
      </c>
      <c r="R31" s="39">
        <f t="shared" si="14"/>
        <v>2950193.75</v>
      </c>
      <c r="S31" s="39">
        <f t="shared" si="14"/>
        <v>2960193.75</v>
      </c>
      <c r="T31" s="39">
        <f t="shared" si="14"/>
        <v>2960193.75</v>
      </c>
      <c r="U31" s="39">
        <f t="shared" si="14"/>
        <v>2950193.75</v>
      </c>
    </row>
    <row r="32" spans="1:22" x14ac:dyDescent="0.25">
      <c r="A32" s="1"/>
      <c r="B32" s="140" t="s">
        <v>52</v>
      </c>
      <c r="C32" s="141"/>
      <c r="D32" s="141"/>
      <c r="E32" s="141"/>
      <c r="F32" s="142"/>
      <c r="G32" s="53">
        <f>IRR(H31:U31)</f>
        <v>0.25986999944370037</v>
      </c>
      <c r="H32" s="54"/>
      <c r="I32" s="54"/>
      <c r="J32" s="54"/>
      <c r="K32" s="54"/>
      <c r="L32" s="54"/>
      <c r="M32" s="54"/>
      <c r="N32" s="54"/>
      <c r="O32" s="54"/>
      <c r="P32" s="54"/>
    </row>
    <row r="33" spans="1:21" x14ac:dyDescent="0.25">
      <c r="A33" s="1"/>
      <c r="B33" s="140" t="s">
        <v>53</v>
      </c>
      <c r="C33" s="141"/>
      <c r="D33" s="141"/>
      <c r="E33" s="141"/>
      <c r="F33" s="142"/>
      <c r="G33" s="55">
        <f>NPV(0.1,G31:U31)</f>
        <v>2374029.7173202359</v>
      </c>
      <c r="H33" s="54"/>
      <c r="I33" s="54"/>
      <c r="J33" s="54"/>
      <c r="K33" s="54"/>
      <c r="L33" s="54"/>
      <c r="M33" s="54"/>
      <c r="N33" s="54"/>
      <c r="O33" s="54"/>
      <c r="P33" s="54"/>
    </row>
    <row r="34" spans="1:21" x14ac:dyDescent="0.25">
      <c r="A34" s="1"/>
      <c r="B34" s="50"/>
      <c r="C34" s="51"/>
      <c r="D34" s="51"/>
      <c r="E34" s="51"/>
      <c r="F34" s="52"/>
      <c r="G34" s="55"/>
      <c r="H34" s="54"/>
      <c r="I34" s="54"/>
      <c r="J34" s="54"/>
      <c r="K34" s="54"/>
      <c r="L34" s="54"/>
      <c r="M34" s="54"/>
      <c r="N34" s="54"/>
      <c r="O34" s="54"/>
      <c r="P34" s="54"/>
    </row>
    <row r="35" spans="1:21" x14ac:dyDescent="0.25">
      <c r="A35" s="36"/>
      <c r="B35" s="36"/>
      <c r="C35" s="36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</row>
    <row r="36" spans="1:21" x14ac:dyDescent="0.25">
      <c r="A36" s="36"/>
      <c r="B36" s="143" t="s">
        <v>54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</row>
    <row r="37" spans="1:21" x14ac:dyDescent="0.25">
      <c r="A37" s="36"/>
      <c r="B37" s="37"/>
      <c r="C37" s="38" t="s">
        <v>19</v>
      </c>
      <c r="D37" s="39" t="s">
        <v>20</v>
      </c>
      <c r="E37" s="39" t="s">
        <v>21</v>
      </c>
      <c r="F37" s="39" t="s">
        <v>22</v>
      </c>
      <c r="G37" s="144" t="s">
        <v>23</v>
      </c>
      <c r="H37" s="145"/>
      <c r="I37" s="145"/>
      <c r="J37" s="145"/>
      <c r="K37" s="145"/>
      <c r="L37" s="145"/>
      <c r="M37" s="145"/>
      <c r="N37" s="145"/>
      <c r="O37" s="145"/>
      <c r="P37" s="145"/>
    </row>
    <row r="38" spans="1:21" x14ac:dyDescent="0.25">
      <c r="A38" s="36"/>
      <c r="B38" s="38" t="s">
        <v>24</v>
      </c>
      <c r="C38" s="37"/>
      <c r="D38" s="40"/>
      <c r="E38" s="40"/>
      <c r="F38" s="40"/>
      <c r="G38" s="40">
        <v>1</v>
      </c>
      <c r="H38" s="40">
        <f t="shared" ref="H38:P38" si="15">G38+1</f>
        <v>2</v>
      </c>
      <c r="I38" s="40">
        <f t="shared" si="15"/>
        <v>3</v>
      </c>
      <c r="J38" s="40">
        <f t="shared" si="15"/>
        <v>4</v>
      </c>
      <c r="K38" s="40">
        <f t="shared" si="15"/>
        <v>5</v>
      </c>
      <c r="L38" s="40">
        <f t="shared" si="15"/>
        <v>6</v>
      </c>
      <c r="M38" s="40">
        <f t="shared" si="15"/>
        <v>7</v>
      </c>
      <c r="N38" s="40">
        <f t="shared" si="15"/>
        <v>8</v>
      </c>
      <c r="O38" s="40">
        <f t="shared" si="15"/>
        <v>9</v>
      </c>
      <c r="P38" s="40">
        <f t="shared" si="15"/>
        <v>10</v>
      </c>
      <c r="Q38">
        <v>11</v>
      </c>
      <c r="R38">
        <v>12</v>
      </c>
      <c r="S38">
        <v>13</v>
      </c>
      <c r="T38">
        <v>14</v>
      </c>
      <c r="U38">
        <v>15</v>
      </c>
    </row>
    <row r="39" spans="1:21" ht="35.25" customHeight="1" x14ac:dyDescent="0.25">
      <c r="A39" s="36"/>
      <c r="B39" s="61" t="s">
        <v>80</v>
      </c>
      <c r="C39" s="37" t="s">
        <v>36</v>
      </c>
      <c r="D39" s="40">
        <f>D4</f>
        <v>2363</v>
      </c>
      <c r="E39" s="40">
        <f>E4*1.1</f>
        <v>5225</v>
      </c>
      <c r="F39" s="40">
        <f>F4*0.9</f>
        <v>0</v>
      </c>
      <c r="G39" s="40">
        <f>F39</f>
        <v>0</v>
      </c>
      <c r="H39" s="40">
        <f t="shared" ref="H39:N39" si="16">H4*0.9</f>
        <v>121221.90000000001</v>
      </c>
      <c r="I39" s="40">
        <f t="shared" si="16"/>
        <v>606109.5</v>
      </c>
      <c r="J39" s="40">
        <f t="shared" si="16"/>
        <v>3030547.5</v>
      </c>
      <c r="K39" s="40">
        <f t="shared" si="16"/>
        <v>10101825</v>
      </c>
      <c r="L39" s="40">
        <f t="shared" si="16"/>
        <v>6061095</v>
      </c>
      <c r="M39" s="40">
        <f t="shared" si="16"/>
        <v>6061095</v>
      </c>
      <c r="N39" s="40">
        <f t="shared" si="16"/>
        <v>6061095</v>
      </c>
      <c r="O39" s="40">
        <f>N39*0.9</f>
        <v>5454985.5</v>
      </c>
      <c r="P39" s="40">
        <f t="shared" ref="K39:U40" si="17">O39</f>
        <v>5454985.5</v>
      </c>
      <c r="Q39" s="40">
        <f t="shared" si="17"/>
        <v>5454985.5</v>
      </c>
      <c r="R39" s="40">
        <f t="shared" si="17"/>
        <v>5454985.5</v>
      </c>
      <c r="S39" s="40">
        <f t="shared" si="17"/>
        <v>5454985.5</v>
      </c>
      <c r="T39" s="40">
        <f t="shared" si="17"/>
        <v>5454985.5</v>
      </c>
      <c r="U39" s="40">
        <f t="shared" si="17"/>
        <v>5454985.5</v>
      </c>
    </row>
    <row r="40" spans="1:21" x14ac:dyDescent="0.25">
      <c r="A40" s="36"/>
      <c r="B40" s="62" t="s">
        <v>94</v>
      </c>
      <c r="C40" s="37" t="s">
        <v>36</v>
      </c>
      <c r="D40" s="40">
        <v>1</v>
      </c>
      <c r="E40" s="40">
        <f>E5</f>
        <v>0</v>
      </c>
      <c r="F40" s="40">
        <f>F7*0.9</f>
        <v>0</v>
      </c>
      <c r="G40" s="40">
        <f>F40</f>
        <v>0</v>
      </c>
      <c r="H40" s="40">
        <f>J40</f>
        <v>0</v>
      </c>
      <c r="I40" s="40">
        <f>H40</f>
        <v>0</v>
      </c>
      <c r="J40" s="40">
        <f>E40*0.9</f>
        <v>0</v>
      </c>
      <c r="K40" s="40">
        <f t="shared" si="17"/>
        <v>0</v>
      </c>
      <c r="L40" s="40">
        <f t="shared" si="17"/>
        <v>0</v>
      </c>
      <c r="M40" s="40">
        <f t="shared" si="17"/>
        <v>0</v>
      </c>
      <c r="N40" s="40">
        <f t="shared" si="17"/>
        <v>0</v>
      </c>
      <c r="O40" s="40">
        <f t="shared" si="17"/>
        <v>0</v>
      </c>
      <c r="P40" s="40">
        <f t="shared" si="17"/>
        <v>0</v>
      </c>
      <c r="Q40" s="40">
        <f t="shared" si="17"/>
        <v>0</v>
      </c>
      <c r="R40" s="40">
        <f t="shared" si="17"/>
        <v>0</v>
      </c>
      <c r="S40" s="40">
        <f t="shared" si="17"/>
        <v>0</v>
      </c>
      <c r="T40" s="40">
        <f t="shared" si="17"/>
        <v>0</v>
      </c>
      <c r="U40" s="40">
        <f t="shared" si="17"/>
        <v>0</v>
      </c>
    </row>
    <row r="41" spans="1:21" x14ac:dyDescent="0.25">
      <c r="A41" s="36"/>
      <c r="B41" s="62"/>
      <c r="C41" s="37"/>
      <c r="D41" s="40"/>
      <c r="E41" s="40"/>
      <c r="F41" s="40"/>
      <c r="G41" s="40"/>
      <c r="H41" s="40"/>
      <c r="I41" s="40"/>
      <c r="J41" s="40">
        <f>E41*0.9</f>
        <v>0</v>
      </c>
      <c r="K41" s="40">
        <f t="shared" ref="K41:U41" si="18">F41*0.9</f>
        <v>0</v>
      </c>
      <c r="L41" s="40">
        <f t="shared" si="18"/>
        <v>0</v>
      </c>
      <c r="M41" s="40">
        <f t="shared" si="18"/>
        <v>0</v>
      </c>
      <c r="N41" s="40">
        <f t="shared" si="18"/>
        <v>0</v>
      </c>
      <c r="O41" s="40">
        <f t="shared" si="18"/>
        <v>0</v>
      </c>
      <c r="P41" s="40">
        <f t="shared" si="18"/>
        <v>0</v>
      </c>
      <c r="Q41" s="40">
        <f t="shared" si="18"/>
        <v>0</v>
      </c>
      <c r="R41" s="40">
        <f t="shared" si="18"/>
        <v>0</v>
      </c>
      <c r="S41" s="40">
        <f t="shared" si="18"/>
        <v>0</v>
      </c>
      <c r="T41" s="40">
        <f t="shared" si="18"/>
        <v>0</v>
      </c>
      <c r="U41" s="40">
        <f t="shared" si="18"/>
        <v>0</v>
      </c>
    </row>
    <row r="42" spans="1:21" x14ac:dyDescent="0.25">
      <c r="A42" s="36"/>
      <c r="B42" s="38" t="s">
        <v>30</v>
      </c>
      <c r="C42" s="37"/>
      <c r="D42" s="40">
        <f>D8</f>
        <v>0</v>
      </c>
      <c r="E42" s="40">
        <f>E8*0.9</f>
        <v>0</v>
      </c>
      <c r="F42" s="39">
        <f>SUM(F39:F41)</f>
        <v>0</v>
      </c>
      <c r="G42" s="39">
        <f t="shared" ref="G42:U42" si="19">SUM(G39:G41)</f>
        <v>0</v>
      </c>
      <c r="H42" s="39">
        <f t="shared" si="19"/>
        <v>121221.90000000001</v>
      </c>
      <c r="I42" s="39">
        <f>I8</f>
        <v>673455</v>
      </c>
      <c r="J42" s="39">
        <f t="shared" si="19"/>
        <v>3030547.5</v>
      </c>
      <c r="K42" s="39">
        <f t="shared" si="19"/>
        <v>10101825</v>
      </c>
      <c r="L42" s="39">
        <f t="shared" si="19"/>
        <v>6061095</v>
      </c>
      <c r="M42" s="39">
        <f t="shared" si="19"/>
        <v>6061095</v>
      </c>
      <c r="N42" s="39">
        <f t="shared" si="19"/>
        <v>6061095</v>
      </c>
      <c r="O42" s="39">
        <f t="shared" si="19"/>
        <v>5454985.5</v>
      </c>
      <c r="P42" s="39">
        <f t="shared" si="19"/>
        <v>5454985.5</v>
      </c>
      <c r="Q42" s="39">
        <f t="shared" si="19"/>
        <v>5454985.5</v>
      </c>
      <c r="R42" s="39">
        <f t="shared" si="19"/>
        <v>5454985.5</v>
      </c>
      <c r="S42" s="39">
        <f t="shared" si="19"/>
        <v>5454985.5</v>
      </c>
      <c r="T42" s="39">
        <f t="shared" si="19"/>
        <v>5454985.5</v>
      </c>
      <c r="U42" s="39">
        <f t="shared" si="19"/>
        <v>5454985.5</v>
      </c>
    </row>
    <row r="43" spans="1:21" x14ac:dyDescent="0.25">
      <c r="A43" s="36"/>
      <c r="B43" s="37"/>
      <c r="C43" s="37"/>
      <c r="D43" s="40">
        <f>D9</f>
        <v>0</v>
      </c>
      <c r="E43" s="40">
        <f>E9*0.9</f>
        <v>0</v>
      </c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</row>
    <row r="44" spans="1:21" x14ac:dyDescent="0.25">
      <c r="A44" s="36"/>
      <c r="B44" s="43" t="s">
        <v>31</v>
      </c>
      <c r="C44" s="37"/>
      <c r="D44" s="40">
        <f>D10</f>
        <v>0</v>
      </c>
      <c r="E44" s="40">
        <f>E10*0.9</f>
        <v>0</v>
      </c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</row>
    <row r="45" spans="1:21" x14ac:dyDescent="0.25">
      <c r="A45" s="36"/>
      <c r="B45" s="38" t="s">
        <v>32</v>
      </c>
      <c r="C45" s="37"/>
      <c r="D45" s="40">
        <f>D11</f>
        <v>0</v>
      </c>
      <c r="E45" s="40">
        <f>E11*0.9</f>
        <v>0</v>
      </c>
      <c r="F45" s="44"/>
      <c r="G45" s="40"/>
      <c r="H45" s="40"/>
      <c r="I45" s="40"/>
      <c r="J45" s="40"/>
      <c r="K45" s="40"/>
      <c r="L45" s="40"/>
      <c r="M45" s="40"/>
      <c r="N45" s="40"/>
      <c r="O45" s="40"/>
      <c r="P45" s="40"/>
    </row>
    <row r="46" spans="1:21" x14ac:dyDescent="0.25">
      <c r="A46" s="36"/>
      <c r="B46" s="63" t="s">
        <v>81</v>
      </c>
      <c r="C46" s="37" t="s">
        <v>34</v>
      </c>
      <c r="D46" s="40">
        <v>10</v>
      </c>
      <c r="E46" s="40">
        <f>E12*0.9</f>
        <v>270000</v>
      </c>
      <c r="F46" s="40">
        <f>F12*0.9</f>
        <v>2700000</v>
      </c>
      <c r="G46" s="40">
        <f>G12</f>
        <v>3000000</v>
      </c>
      <c r="H46" s="40"/>
      <c r="I46" s="40">
        <v>0</v>
      </c>
      <c r="J46" s="40">
        <v>0</v>
      </c>
      <c r="K46" s="40"/>
      <c r="L46" s="40"/>
      <c r="M46" s="40"/>
      <c r="N46" s="40"/>
      <c r="O46" s="40"/>
      <c r="P46" s="40">
        <f>K46</f>
        <v>0</v>
      </c>
    </row>
    <row r="47" spans="1:21" x14ac:dyDescent="0.25">
      <c r="A47" s="36"/>
      <c r="B47" s="63"/>
      <c r="C47" s="37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</row>
    <row r="48" spans="1:21" x14ac:dyDescent="0.25">
      <c r="A48" s="36"/>
      <c r="B48" s="38" t="s">
        <v>37</v>
      </c>
      <c r="C48" s="37"/>
      <c r="D48" s="40">
        <f>D13</f>
        <v>0</v>
      </c>
      <c r="E48" s="40">
        <f>E13*0.9</f>
        <v>0</v>
      </c>
      <c r="F48" s="39">
        <f t="shared" ref="F48:K48" si="20">SUM(F46:F47)</f>
        <v>2700000</v>
      </c>
      <c r="G48" s="39">
        <f t="shared" si="20"/>
        <v>3000000</v>
      </c>
      <c r="H48" s="39">
        <f t="shared" si="20"/>
        <v>0</v>
      </c>
      <c r="I48" s="39"/>
      <c r="J48" s="39">
        <f t="shared" si="20"/>
        <v>0</v>
      </c>
      <c r="K48" s="39">
        <f t="shared" si="20"/>
        <v>0</v>
      </c>
      <c r="L48" s="39"/>
      <c r="M48" s="39">
        <f t="shared" ref="M48:T48" si="21">SUM(M46:M47)</f>
        <v>0</v>
      </c>
      <c r="N48" s="39">
        <f t="shared" si="21"/>
        <v>0</v>
      </c>
      <c r="O48" s="39"/>
      <c r="P48" s="39">
        <f t="shared" si="21"/>
        <v>0</v>
      </c>
      <c r="Q48" s="39">
        <f t="shared" si="21"/>
        <v>0</v>
      </c>
      <c r="R48" s="39">
        <v>10000</v>
      </c>
      <c r="S48" s="39">
        <f t="shared" si="21"/>
        <v>0</v>
      </c>
      <c r="T48" s="39">
        <f t="shared" si="21"/>
        <v>0</v>
      </c>
      <c r="U48" s="39">
        <v>10000</v>
      </c>
    </row>
    <row r="49" spans="1:22" x14ac:dyDescent="0.25">
      <c r="A49" s="36"/>
      <c r="B49" s="37"/>
      <c r="C49" s="37"/>
      <c r="D49" s="40">
        <f>D14</f>
        <v>0</v>
      </c>
      <c r="E49" s="40">
        <f>E14*0.9</f>
        <v>0</v>
      </c>
      <c r="F49" s="40">
        <f t="shared" ref="F49:F50" si="22">D49*E49</f>
        <v>0</v>
      </c>
      <c r="G49" s="40"/>
      <c r="H49" s="40"/>
      <c r="I49" s="40"/>
      <c r="J49" s="40"/>
      <c r="K49" s="40"/>
      <c r="L49" s="40"/>
      <c r="M49" s="40"/>
      <c r="N49" s="40"/>
      <c r="O49" s="40"/>
      <c r="P49" s="40"/>
    </row>
    <row r="50" spans="1:22" x14ac:dyDescent="0.25">
      <c r="A50" s="36"/>
      <c r="B50" s="38" t="s">
        <v>38</v>
      </c>
      <c r="C50" s="37"/>
      <c r="D50" s="40">
        <f>D15</f>
        <v>0</v>
      </c>
      <c r="E50" s="40">
        <f>E15*0.9</f>
        <v>0</v>
      </c>
      <c r="F50" s="40">
        <f t="shared" si="22"/>
        <v>0</v>
      </c>
      <c r="G50" s="40"/>
      <c r="H50" s="40"/>
      <c r="I50" s="40"/>
      <c r="J50" s="40"/>
      <c r="K50" s="40"/>
      <c r="L50" s="40"/>
      <c r="M50" s="40"/>
      <c r="N50" s="40"/>
      <c r="O50" s="40"/>
      <c r="P50" s="40"/>
    </row>
    <row r="51" spans="1:22" x14ac:dyDescent="0.25">
      <c r="A51" s="36"/>
      <c r="B51" s="64" t="s">
        <v>229</v>
      </c>
      <c r="C51" s="37" t="s">
        <v>40</v>
      </c>
      <c r="D51" s="40"/>
      <c r="E51" s="40"/>
      <c r="F51" s="40">
        <f>F16*0.9</f>
        <v>9000</v>
      </c>
      <c r="G51" s="40">
        <f t="shared" ref="G51:U56" si="23">F51</f>
        <v>9000</v>
      </c>
      <c r="H51" s="40">
        <f t="shared" si="23"/>
        <v>9000</v>
      </c>
      <c r="I51" s="40">
        <f t="shared" si="23"/>
        <v>9000</v>
      </c>
      <c r="J51" s="40">
        <f t="shared" si="23"/>
        <v>9000</v>
      </c>
      <c r="K51" s="40">
        <f t="shared" si="23"/>
        <v>9000</v>
      </c>
      <c r="L51" s="40">
        <f t="shared" si="23"/>
        <v>9000</v>
      </c>
      <c r="M51" s="40">
        <f t="shared" si="23"/>
        <v>9000</v>
      </c>
      <c r="N51" s="40">
        <f t="shared" si="23"/>
        <v>9000</v>
      </c>
      <c r="O51" s="40">
        <f t="shared" si="23"/>
        <v>9000</v>
      </c>
      <c r="P51" s="40">
        <f t="shared" si="23"/>
        <v>9000</v>
      </c>
      <c r="Q51" s="40">
        <f t="shared" si="23"/>
        <v>9000</v>
      </c>
      <c r="R51" s="40">
        <f t="shared" si="23"/>
        <v>9000</v>
      </c>
      <c r="S51" s="40">
        <f t="shared" si="23"/>
        <v>9000</v>
      </c>
      <c r="T51" s="40">
        <f t="shared" si="23"/>
        <v>9000</v>
      </c>
      <c r="U51" s="40">
        <f t="shared" si="23"/>
        <v>9000</v>
      </c>
    </row>
    <row r="52" spans="1:22" x14ac:dyDescent="0.25">
      <c r="A52" s="36"/>
      <c r="B52" s="65" t="s">
        <v>232</v>
      </c>
      <c r="C52" s="37" t="s">
        <v>40</v>
      </c>
      <c r="D52" s="40"/>
      <c r="E52" s="40"/>
      <c r="F52" s="40">
        <f>F17*0.9</f>
        <v>270000</v>
      </c>
      <c r="G52" s="40">
        <f t="shared" si="23"/>
        <v>270000</v>
      </c>
      <c r="H52" s="40">
        <f t="shared" si="23"/>
        <v>270000</v>
      </c>
      <c r="I52" s="40">
        <f t="shared" si="23"/>
        <v>270000</v>
      </c>
      <c r="J52" s="40">
        <f t="shared" si="23"/>
        <v>270000</v>
      </c>
      <c r="K52" s="40">
        <f t="shared" si="23"/>
        <v>270000</v>
      </c>
      <c r="L52" s="40">
        <f t="shared" si="23"/>
        <v>270000</v>
      </c>
      <c r="M52" s="40">
        <f t="shared" si="23"/>
        <v>270000</v>
      </c>
      <c r="N52" s="40">
        <f t="shared" si="23"/>
        <v>270000</v>
      </c>
      <c r="O52" s="40">
        <f t="shared" si="23"/>
        <v>270000</v>
      </c>
      <c r="P52" s="40">
        <f t="shared" si="23"/>
        <v>270000</v>
      </c>
      <c r="Q52" s="40">
        <f t="shared" si="23"/>
        <v>270000</v>
      </c>
      <c r="R52" s="40">
        <f t="shared" si="23"/>
        <v>270000</v>
      </c>
      <c r="S52" s="40">
        <f t="shared" si="23"/>
        <v>270000</v>
      </c>
      <c r="T52" s="40">
        <f t="shared" si="23"/>
        <v>270000</v>
      </c>
      <c r="U52" s="40">
        <f t="shared" si="23"/>
        <v>270000</v>
      </c>
      <c r="V52" s="46"/>
    </row>
    <row r="53" spans="1:22" x14ac:dyDescent="0.25">
      <c r="A53" s="36"/>
      <c r="B53" s="45" t="s">
        <v>95</v>
      </c>
      <c r="C53" s="37" t="s">
        <v>40</v>
      </c>
      <c r="D53" s="40"/>
      <c r="E53" s="40"/>
      <c r="F53" s="40">
        <f>F18*0.9</f>
        <v>1212219</v>
      </c>
      <c r="G53" s="40">
        <f>F53</f>
        <v>1212219</v>
      </c>
      <c r="H53" s="40">
        <f>F53</f>
        <v>1212219</v>
      </c>
      <c r="I53" s="40">
        <f t="shared" si="23"/>
        <v>1212219</v>
      </c>
      <c r="J53" s="40">
        <f>J42*0.6</f>
        <v>1818328.5</v>
      </c>
      <c r="K53" s="40">
        <f t="shared" si="23"/>
        <v>1818328.5</v>
      </c>
      <c r="L53" s="40">
        <f t="shared" si="23"/>
        <v>1818328.5</v>
      </c>
      <c r="M53" s="40">
        <f t="shared" si="23"/>
        <v>1818328.5</v>
      </c>
      <c r="N53" s="40">
        <f t="shared" si="23"/>
        <v>1818328.5</v>
      </c>
      <c r="O53" s="40">
        <f t="shared" si="23"/>
        <v>1818328.5</v>
      </c>
      <c r="P53" s="40">
        <f t="shared" si="23"/>
        <v>1818328.5</v>
      </c>
      <c r="Q53" s="40">
        <f t="shared" si="23"/>
        <v>1818328.5</v>
      </c>
      <c r="R53" s="40">
        <f t="shared" si="23"/>
        <v>1818328.5</v>
      </c>
      <c r="S53" s="40">
        <f t="shared" si="23"/>
        <v>1818328.5</v>
      </c>
      <c r="T53" s="40">
        <f t="shared" si="23"/>
        <v>1818328.5</v>
      </c>
      <c r="U53" s="40">
        <f t="shared" si="23"/>
        <v>1818328.5</v>
      </c>
      <c r="V53" s="46"/>
    </row>
    <row r="54" spans="1:22" x14ac:dyDescent="0.25">
      <c r="A54" s="36"/>
      <c r="B54" s="45" t="s">
        <v>83</v>
      </c>
      <c r="C54" s="37" t="s">
        <v>40</v>
      </c>
      <c r="D54" s="40"/>
      <c r="E54" s="40"/>
      <c r="F54" s="40">
        <f>F19*0.8</f>
        <v>724000</v>
      </c>
      <c r="G54" s="40">
        <f>F54</f>
        <v>724000</v>
      </c>
      <c r="H54" s="40">
        <f>F54</f>
        <v>724000</v>
      </c>
      <c r="I54" s="40">
        <f>F54</f>
        <v>724000</v>
      </c>
      <c r="J54" s="40">
        <f>F54</f>
        <v>724000</v>
      </c>
      <c r="K54" s="40">
        <f>J54</f>
        <v>724000</v>
      </c>
      <c r="L54" s="40">
        <f t="shared" si="23"/>
        <v>724000</v>
      </c>
      <c r="M54" s="40">
        <f t="shared" si="23"/>
        <v>724000</v>
      </c>
      <c r="N54" s="40">
        <f t="shared" si="23"/>
        <v>724000</v>
      </c>
      <c r="O54" s="40">
        <f t="shared" si="23"/>
        <v>724000</v>
      </c>
      <c r="P54" s="40">
        <f t="shared" si="23"/>
        <v>724000</v>
      </c>
      <c r="Q54" s="40">
        <f t="shared" si="23"/>
        <v>724000</v>
      </c>
      <c r="R54" s="40">
        <f t="shared" si="23"/>
        <v>724000</v>
      </c>
      <c r="S54" s="40">
        <f t="shared" si="23"/>
        <v>724000</v>
      </c>
      <c r="T54" s="40">
        <f t="shared" si="23"/>
        <v>724000</v>
      </c>
      <c r="U54" s="40">
        <f t="shared" si="23"/>
        <v>724000</v>
      </c>
    </row>
    <row r="55" spans="1:22" x14ac:dyDescent="0.25">
      <c r="A55" s="36"/>
      <c r="B55" s="45"/>
      <c r="C55" s="37"/>
      <c r="D55" s="40"/>
      <c r="E55" s="40"/>
      <c r="F55" s="40"/>
      <c r="G55" s="40">
        <f>F55</f>
        <v>0</v>
      </c>
      <c r="H55" s="40">
        <f t="shared" ref="H55:H56" si="24">F55</f>
        <v>0</v>
      </c>
      <c r="I55" s="40">
        <f t="shared" ref="I55:I56" si="25">F55</f>
        <v>0</v>
      </c>
      <c r="J55" s="40">
        <f t="shared" ref="J55:J56" si="26">F55</f>
        <v>0</v>
      </c>
      <c r="K55" s="40">
        <f>J55</f>
        <v>0</v>
      </c>
      <c r="L55" s="40">
        <f t="shared" si="23"/>
        <v>0</v>
      </c>
      <c r="M55" s="40">
        <f t="shared" si="23"/>
        <v>0</v>
      </c>
      <c r="N55" s="40">
        <f t="shared" si="23"/>
        <v>0</v>
      </c>
      <c r="O55" s="40">
        <f t="shared" si="23"/>
        <v>0</v>
      </c>
      <c r="P55" s="40">
        <f t="shared" si="23"/>
        <v>0</v>
      </c>
      <c r="Q55" s="40">
        <f t="shared" si="23"/>
        <v>0</v>
      </c>
      <c r="R55" s="40">
        <f t="shared" si="23"/>
        <v>0</v>
      </c>
      <c r="S55" s="40">
        <f t="shared" si="23"/>
        <v>0</v>
      </c>
      <c r="T55" s="40">
        <f t="shared" si="23"/>
        <v>0</v>
      </c>
      <c r="U55" s="40">
        <f t="shared" si="23"/>
        <v>0</v>
      </c>
    </row>
    <row r="56" spans="1:22" x14ac:dyDescent="0.25">
      <c r="A56" s="36"/>
      <c r="B56" s="45" t="s">
        <v>84</v>
      </c>
      <c r="C56" s="37" t="s">
        <v>40</v>
      </c>
      <c r="D56" s="40"/>
      <c r="E56" s="40"/>
      <c r="F56" s="40">
        <f>F21*0.9</f>
        <v>8010</v>
      </c>
      <c r="G56" s="40">
        <f>F56</f>
        <v>8010</v>
      </c>
      <c r="H56" s="40">
        <f t="shared" si="24"/>
        <v>8010</v>
      </c>
      <c r="I56" s="40">
        <f t="shared" si="25"/>
        <v>8010</v>
      </c>
      <c r="J56" s="40">
        <f t="shared" si="26"/>
        <v>8010</v>
      </c>
      <c r="K56" s="40">
        <f>J56</f>
        <v>8010</v>
      </c>
      <c r="L56" s="40">
        <f t="shared" si="23"/>
        <v>8010</v>
      </c>
      <c r="M56" s="40">
        <f t="shared" si="23"/>
        <v>8010</v>
      </c>
      <c r="N56" s="40">
        <f t="shared" si="23"/>
        <v>8010</v>
      </c>
      <c r="O56" s="40">
        <f t="shared" si="23"/>
        <v>8010</v>
      </c>
      <c r="P56" s="40">
        <f t="shared" si="23"/>
        <v>8010</v>
      </c>
      <c r="Q56" s="40">
        <f t="shared" si="23"/>
        <v>8010</v>
      </c>
      <c r="R56" s="40">
        <f t="shared" si="23"/>
        <v>8010</v>
      </c>
      <c r="S56" s="40">
        <f t="shared" si="23"/>
        <v>8010</v>
      </c>
      <c r="T56" s="40">
        <f t="shared" si="23"/>
        <v>8010</v>
      </c>
      <c r="U56" s="40">
        <f t="shared" si="23"/>
        <v>8010</v>
      </c>
    </row>
    <row r="57" spans="1:22" x14ac:dyDescent="0.25">
      <c r="A57" s="36"/>
      <c r="B57" s="38" t="s">
        <v>44</v>
      </c>
      <c r="C57" s="37"/>
      <c r="D57" s="40">
        <f>D23</f>
        <v>0</v>
      </c>
      <c r="E57" s="40"/>
      <c r="F57" s="39">
        <f>SUM(F51:F56)</f>
        <v>2223229</v>
      </c>
      <c r="G57" s="39">
        <f t="shared" ref="G57:U57" si="27">SUM(G51:G56)</f>
        <v>2223229</v>
      </c>
      <c r="H57" s="39">
        <f t="shared" si="27"/>
        <v>2223229</v>
      </c>
      <c r="I57" s="39">
        <f t="shared" si="27"/>
        <v>2223229</v>
      </c>
      <c r="J57" s="39">
        <f t="shared" si="27"/>
        <v>2829338.5</v>
      </c>
      <c r="K57" s="39">
        <f t="shared" si="27"/>
        <v>2829338.5</v>
      </c>
      <c r="L57" s="39">
        <f t="shared" si="27"/>
        <v>2829338.5</v>
      </c>
      <c r="M57" s="39">
        <f t="shared" si="27"/>
        <v>2829338.5</v>
      </c>
      <c r="N57" s="39">
        <f t="shared" si="27"/>
        <v>2829338.5</v>
      </c>
      <c r="O57" s="39">
        <f t="shared" si="27"/>
        <v>2829338.5</v>
      </c>
      <c r="P57" s="39">
        <f t="shared" si="27"/>
        <v>2829338.5</v>
      </c>
      <c r="Q57" s="39">
        <f t="shared" si="27"/>
        <v>2829338.5</v>
      </c>
      <c r="R57" s="39">
        <f t="shared" si="27"/>
        <v>2829338.5</v>
      </c>
      <c r="S57" s="39">
        <f t="shared" si="27"/>
        <v>2829338.5</v>
      </c>
      <c r="T57" s="39">
        <f t="shared" si="27"/>
        <v>2829338.5</v>
      </c>
      <c r="U57" s="39">
        <f t="shared" si="27"/>
        <v>2829338.5</v>
      </c>
    </row>
    <row r="58" spans="1:22" x14ac:dyDescent="0.25">
      <c r="A58" s="36"/>
      <c r="B58" s="47"/>
      <c r="C58" s="37"/>
      <c r="D58" s="40">
        <f>D24</f>
        <v>0</v>
      </c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</row>
    <row r="59" spans="1:22" x14ac:dyDescent="0.25">
      <c r="A59" s="36"/>
      <c r="B59" s="38" t="s">
        <v>45</v>
      </c>
      <c r="C59" s="37"/>
      <c r="D59" s="40">
        <f>D25</f>
        <v>0</v>
      </c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</row>
    <row r="60" spans="1:22" x14ac:dyDescent="0.25">
      <c r="A60" s="36"/>
      <c r="B60" s="37" t="s">
        <v>46</v>
      </c>
      <c r="C60" s="37" t="s">
        <v>88</v>
      </c>
      <c r="D60" s="40">
        <f>D26</f>
        <v>1</v>
      </c>
      <c r="E60" s="40"/>
      <c r="F60" s="40">
        <f>D60*E60</f>
        <v>0</v>
      </c>
      <c r="G60" s="40">
        <f>F26*0.9</f>
        <v>18000</v>
      </c>
      <c r="H60" s="40">
        <f t="shared" ref="H60:U60" si="28">G26*0.9</f>
        <v>0</v>
      </c>
      <c r="I60" s="40">
        <f t="shared" si="28"/>
        <v>18000</v>
      </c>
      <c r="J60" s="40">
        <f t="shared" si="28"/>
        <v>18000</v>
      </c>
      <c r="K60" s="40">
        <f t="shared" si="28"/>
        <v>18000</v>
      </c>
      <c r="L60" s="40">
        <f t="shared" si="28"/>
        <v>18000</v>
      </c>
      <c r="M60" s="40">
        <f t="shared" si="28"/>
        <v>18000</v>
      </c>
      <c r="N60" s="40">
        <f t="shared" si="28"/>
        <v>18000</v>
      </c>
      <c r="O60" s="40">
        <f t="shared" si="28"/>
        <v>18000</v>
      </c>
      <c r="P60" s="40">
        <f t="shared" si="28"/>
        <v>18000</v>
      </c>
      <c r="Q60" s="40">
        <f t="shared" si="28"/>
        <v>18000</v>
      </c>
      <c r="R60" s="40">
        <f t="shared" si="28"/>
        <v>18000</v>
      </c>
      <c r="S60" s="40">
        <f t="shared" si="28"/>
        <v>18000</v>
      </c>
      <c r="T60" s="40">
        <f t="shared" si="28"/>
        <v>18000</v>
      </c>
      <c r="U60" s="40">
        <f t="shared" si="28"/>
        <v>18000</v>
      </c>
      <c r="V60" s="48">
        <f>SUM(H60:U60)</f>
        <v>234000</v>
      </c>
    </row>
    <row r="61" spans="1:22" x14ac:dyDescent="0.25">
      <c r="A61" s="36"/>
      <c r="B61" s="38" t="s">
        <v>48</v>
      </c>
      <c r="C61" s="37"/>
      <c r="D61" s="40"/>
      <c r="E61" s="40"/>
      <c r="F61" s="39">
        <f t="shared" ref="F61:U61" si="29">SUM(F60:F60)</f>
        <v>0</v>
      </c>
      <c r="G61" s="39">
        <f t="shared" si="29"/>
        <v>18000</v>
      </c>
      <c r="H61" s="39">
        <f t="shared" si="29"/>
        <v>0</v>
      </c>
      <c r="I61" s="39">
        <f t="shared" si="29"/>
        <v>18000</v>
      </c>
      <c r="J61" s="39">
        <f t="shared" si="29"/>
        <v>18000</v>
      </c>
      <c r="K61" s="39">
        <f t="shared" si="29"/>
        <v>18000</v>
      </c>
      <c r="L61" s="39">
        <f t="shared" si="29"/>
        <v>18000</v>
      </c>
      <c r="M61" s="39">
        <f t="shared" si="29"/>
        <v>18000</v>
      </c>
      <c r="N61" s="39">
        <f t="shared" si="29"/>
        <v>18000</v>
      </c>
      <c r="O61" s="39">
        <f t="shared" si="29"/>
        <v>18000</v>
      </c>
      <c r="P61" s="39">
        <f t="shared" si="29"/>
        <v>18000</v>
      </c>
      <c r="Q61" s="39">
        <f t="shared" si="29"/>
        <v>18000</v>
      </c>
      <c r="R61" s="39">
        <f t="shared" si="29"/>
        <v>18000</v>
      </c>
      <c r="S61" s="39">
        <f t="shared" si="29"/>
        <v>18000</v>
      </c>
      <c r="T61" s="39">
        <f t="shared" si="29"/>
        <v>18000</v>
      </c>
      <c r="U61" s="39">
        <f t="shared" si="29"/>
        <v>18000</v>
      </c>
    </row>
    <row r="62" spans="1:22" x14ac:dyDescent="0.25">
      <c r="A62" s="36"/>
      <c r="B62" s="38" t="s">
        <v>49</v>
      </c>
      <c r="C62" s="37"/>
      <c r="D62" s="40"/>
      <c r="E62" s="40"/>
      <c r="F62" s="39">
        <f t="shared" ref="F62:U62" si="30">F48+F57+F61</f>
        <v>4923229</v>
      </c>
      <c r="G62" s="39">
        <f t="shared" si="30"/>
        <v>5241229</v>
      </c>
      <c r="H62" s="39">
        <f t="shared" si="30"/>
        <v>2223229</v>
      </c>
      <c r="I62" s="39">
        <f t="shared" si="30"/>
        <v>2241229</v>
      </c>
      <c r="J62" s="39">
        <f t="shared" si="30"/>
        <v>2847338.5</v>
      </c>
      <c r="K62" s="39">
        <f t="shared" si="30"/>
        <v>2847338.5</v>
      </c>
      <c r="L62" s="39">
        <f t="shared" si="30"/>
        <v>2847338.5</v>
      </c>
      <c r="M62" s="39">
        <f t="shared" si="30"/>
        <v>2847338.5</v>
      </c>
      <c r="N62" s="39">
        <f t="shared" si="30"/>
        <v>2847338.5</v>
      </c>
      <c r="O62" s="39">
        <f t="shared" si="30"/>
        <v>2847338.5</v>
      </c>
      <c r="P62" s="39">
        <f t="shared" si="30"/>
        <v>2847338.5</v>
      </c>
      <c r="Q62" s="39">
        <f t="shared" si="30"/>
        <v>2847338.5</v>
      </c>
      <c r="R62" s="39">
        <f t="shared" si="30"/>
        <v>2857338.5</v>
      </c>
      <c r="S62" s="39">
        <f t="shared" si="30"/>
        <v>2847338.5</v>
      </c>
      <c r="T62" s="39">
        <f t="shared" si="30"/>
        <v>2847338.5</v>
      </c>
      <c r="U62" s="39">
        <f t="shared" si="30"/>
        <v>2857338.5</v>
      </c>
    </row>
    <row r="63" spans="1:22" x14ac:dyDescent="0.25">
      <c r="A63" s="36"/>
      <c r="B63" s="38"/>
      <c r="C63" s="37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</row>
    <row r="64" spans="1:22" x14ac:dyDescent="0.25">
      <c r="A64" s="36"/>
      <c r="B64" s="38" t="s">
        <v>50</v>
      </c>
      <c r="C64" s="37" t="s">
        <v>47</v>
      </c>
      <c r="D64" s="40"/>
      <c r="E64" s="40"/>
      <c r="F64" s="40"/>
      <c r="G64" s="39">
        <f t="shared" ref="G64:U64" si="31">G42-G48-G57</f>
        <v>-5223229</v>
      </c>
      <c r="H64" s="39">
        <f t="shared" si="31"/>
        <v>-2102007.1</v>
      </c>
      <c r="I64" s="39">
        <f t="shared" si="31"/>
        <v>-1549774</v>
      </c>
      <c r="J64" s="39">
        <f t="shared" si="31"/>
        <v>201209</v>
      </c>
      <c r="K64" s="39">
        <f t="shared" si="31"/>
        <v>7272486.5</v>
      </c>
      <c r="L64" s="39">
        <f t="shared" si="31"/>
        <v>3231756.5</v>
      </c>
      <c r="M64" s="39">
        <f t="shared" si="31"/>
        <v>3231756.5</v>
      </c>
      <c r="N64" s="39">
        <f t="shared" si="31"/>
        <v>3231756.5</v>
      </c>
      <c r="O64" s="39">
        <f t="shared" si="31"/>
        <v>2625647</v>
      </c>
      <c r="P64" s="39">
        <f t="shared" si="31"/>
        <v>2625647</v>
      </c>
      <c r="Q64" s="39">
        <f t="shared" si="31"/>
        <v>2625647</v>
      </c>
      <c r="R64" s="39">
        <f t="shared" si="31"/>
        <v>2615647</v>
      </c>
      <c r="S64" s="39">
        <f t="shared" si="31"/>
        <v>2625647</v>
      </c>
      <c r="T64" s="39">
        <f t="shared" si="31"/>
        <v>2625647</v>
      </c>
      <c r="U64" s="39">
        <f t="shared" si="31"/>
        <v>2615647</v>
      </c>
    </row>
    <row r="65" spans="1:21" x14ac:dyDescent="0.25">
      <c r="A65" s="36"/>
      <c r="B65" s="38" t="s">
        <v>51</v>
      </c>
      <c r="C65" s="37" t="s">
        <v>47</v>
      </c>
      <c r="D65" s="40"/>
      <c r="E65" s="40"/>
      <c r="F65" s="40"/>
      <c r="G65" s="39">
        <f>G64-G61</f>
        <v>-5241229</v>
      </c>
      <c r="H65" s="39">
        <f>H64-H61</f>
        <v>-2102007.1</v>
      </c>
      <c r="I65" s="39">
        <f>I64-I61</f>
        <v>-1567774</v>
      </c>
      <c r="J65" s="39">
        <f>J64-J61</f>
        <v>183209</v>
      </c>
      <c r="K65" s="39">
        <f>K64-K61</f>
        <v>7254486.5</v>
      </c>
      <c r="L65" s="39">
        <f t="shared" ref="L65:U65" si="32">L64-L61</f>
        <v>3213756.5</v>
      </c>
      <c r="M65" s="39">
        <f t="shared" si="32"/>
        <v>3213756.5</v>
      </c>
      <c r="N65" s="39">
        <f t="shared" si="32"/>
        <v>3213756.5</v>
      </c>
      <c r="O65" s="39">
        <f t="shared" si="32"/>
        <v>2607647</v>
      </c>
      <c r="P65" s="39">
        <f t="shared" si="32"/>
        <v>2607647</v>
      </c>
      <c r="Q65" s="39">
        <f t="shared" si="32"/>
        <v>2607647</v>
      </c>
      <c r="R65" s="39">
        <f t="shared" si="32"/>
        <v>2597647</v>
      </c>
      <c r="S65" s="39">
        <f t="shared" si="32"/>
        <v>2607647</v>
      </c>
      <c r="T65" s="39">
        <f t="shared" si="32"/>
        <v>2607647</v>
      </c>
      <c r="U65" s="39">
        <f t="shared" si="32"/>
        <v>2597647</v>
      </c>
    </row>
    <row r="66" spans="1:21" x14ac:dyDescent="0.25">
      <c r="A66" s="1"/>
      <c r="B66" s="140" t="s">
        <v>58</v>
      </c>
      <c r="C66" s="141"/>
      <c r="D66" s="141"/>
      <c r="E66" s="141"/>
      <c r="F66" s="142"/>
      <c r="G66" s="53">
        <f>IRR(G65:U65)</f>
        <v>0.23377796700376741</v>
      </c>
      <c r="H66" s="54"/>
      <c r="I66" s="54"/>
      <c r="J66" s="54"/>
      <c r="K66" s="54"/>
      <c r="L66" s="54"/>
      <c r="M66" s="54"/>
      <c r="N66" s="54"/>
      <c r="O66" s="54"/>
      <c r="P66" s="54"/>
    </row>
    <row r="67" spans="1:21" x14ac:dyDescent="0.25">
      <c r="A67" s="1"/>
      <c r="B67" s="140" t="s">
        <v>59</v>
      </c>
      <c r="C67" s="141"/>
      <c r="D67" s="141"/>
      <c r="E67" s="141"/>
      <c r="F67" s="142"/>
      <c r="G67" s="55">
        <f>NPV(0.1,G65:U65)</f>
        <v>7829032.1781561943</v>
      </c>
      <c r="H67" s="54"/>
      <c r="I67" s="54"/>
      <c r="J67" s="54"/>
      <c r="K67" s="54"/>
      <c r="L67" s="54"/>
      <c r="M67" s="54"/>
      <c r="N67" s="54"/>
      <c r="O67" s="54"/>
      <c r="P67" s="54"/>
    </row>
  </sheetData>
  <mergeCells count="8">
    <mergeCell ref="B66:F66"/>
    <mergeCell ref="B67:F67"/>
    <mergeCell ref="B1:P1"/>
    <mergeCell ref="G2:P2"/>
    <mergeCell ref="B32:F32"/>
    <mergeCell ref="B33:F33"/>
    <mergeCell ref="B36:P36"/>
    <mergeCell ref="G37:P3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FD8D7-8E84-40A0-9338-1B2FAA19AC0C}">
  <dimension ref="A1:V65"/>
  <sheetViews>
    <sheetView topLeftCell="A32" workbookViewId="0">
      <selection activeCell="C56" sqref="C56"/>
    </sheetView>
  </sheetViews>
  <sheetFormatPr defaultColWidth="15.7109375" defaultRowHeight="15" x14ac:dyDescent="0.25"/>
  <cols>
    <col min="2" max="2" width="26.85546875" customWidth="1"/>
  </cols>
  <sheetData>
    <row r="1" spans="1:21" x14ac:dyDescent="0.25">
      <c r="A1" s="36"/>
      <c r="B1" s="143" t="s">
        <v>18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</row>
    <row r="2" spans="1:21" x14ac:dyDescent="0.25">
      <c r="A2" s="36"/>
      <c r="B2" s="37"/>
      <c r="C2" s="38" t="s">
        <v>19</v>
      </c>
      <c r="D2" s="39" t="s">
        <v>20</v>
      </c>
      <c r="E2" s="39" t="s">
        <v>21</v>
      </c>
      <c r="F2" s="39" t="s">
        <v>22</v>
      </c>
      <c r="G2" s="144" t="s">
        <v>23</v>
      </c>
      <c r="H2" s="145"/>
      <c r="I2" s="145"/>
      <c r="J2" s="145"/>
      <c r="K2" s="145"/>
      <c r="L2" s="145"/>
      <c r="M2" s="145"/>
      <c r="N2" s="145"/>
      <c r="O2" s="145"/>
      <c r="P2" s="145"/>
    </row>
    <row r="3" spans="1:21" x14ac:dyDescent="0.25">
      <c r="A3" s="36"/>
      <c r="B3" s="38" t="s">
        <v>24</v>
      </c>
      <c r="C3" s="37"/>
      <c r="D3" s="40"/>
      <c r="E3" s="40"/>
      <c r="F3" s="40"/>
      <c r="G3" s="40">
        <v>1</v>
      </c>
      <c r="H3" s="40">
        <f t="shared" ref="H3:P3" si="0">G3+1</f>
        <v>2</v>
      </c>
      <c r="I3" s="40">
        <f t="shared" si="0"/>
        <v>3</v>
      </c>
      <c r="J3" s="40">
        <f t="shared" si="0"/>
        <v>4</v>
      </c>
      <c r="K3" s="40">
        <f t="shared" si="0"/>
        <v>5</v>
      </c>
      <c r="L3" s="40">
        <f t="shared" si="0"/>
        <v>6</v>
      </c>
      <c r="M3" s="40">
        <f t="shared" si="0"/>
        <v>7</v>
      </c>
      <c r="N3" s="40">
        <f t="shared" si="0"/>
        <v>8</v>
      </c>
      <c r="O3" s="40">
        <f t="shared" si="0"/>
        <v>9</v>
      </c>
      <c r="P3" s="40">
        <f t="shared" si="0"/>
        <v>10</v>
      </c>
      <c r="Q3">
        <v>11</v>
      </c>
      <c r="R3">
        <v>12</v>
      </c>
      <c r="S3">
        <v>13</v>
      </c>
      <c r="T3">
        <v>14</v>
      </c>
      <c r="U3">
        <v>15</v>
      </c>
    </row>
    <row r="4" spans="1:21" ht="35.25" customHeight="1" x14ac:dyDescent="0.25">
      <c r="A4" s="36"/>
      <c r="B4" s="61" t="s">
        <v>60</v>
      </c>
      <c r="C4" s="37" t="s">
        <v>61</v>
      </c>
      <c r="D4" s="40">
        <f>2100</f>
        <v>2100</v>
      </c>
      <c r="E4" s="40">
        <v>1400</v>
      </c>
      <c r="F4" s="40">
        <f>D4*E4</f>
        <v>2940000</v>
      </c>
      <c r="G4" s="40"/>
      <c r="H4" s="40">
        <f>F4*0.3</f>
        <v>882000</v>
      </c>
      <c r="I4" s="40">
        <f>F4*0.5</f>
        <v>1470000</v>
      </c>
      <c r="J4" s="40">
        <f>F4*0.7</f>
        <v>2057999.9999999998</v>
      </c>
      <c r="K4" s="40">
        <f t="shared" ref="K4:U5" si="1">J4</f>
        <v>2057999.9999999998</v>
      </c>
      <c r="L4" s="40">
        <f t="shared" si="1"/>
        <v>2057999.9999999998</v>
      </c>
      <c r="M4" s="40">
        <f t="shared" si="1"/>
        <v>2057999.9999999998</v>
      </c>
      <c r="N4" s="40">
        <f t="shared" si="1"/>
        <v>2057999.9999999998</v>
      </c>
      <c r="O4" s="40">
        <f t="shared" si="1"/>
        <v>2057999.9999999998</v>
      </c>
      <c r="P4" s="40">
        <f t="shared" si="1"/>
        <v>2057999.9999999998</v>
      </c>
      <c r="Q4" s="40">
        <f t="shared" si="1"/>
        <v>2057999.9999999998</v>
      </c>
      <c r="R4" s="40">
        <f t="shared" si="1"/>
        <v>2057999.9999999998</v>
      </c>
      <c r="S4" s="40">
        <f t="shared" si="1"/>
        <v>2057999.9999999998</v>
      </c>
      <c r="T4" s="40">
        <f t="shared" si="1"/>
        <v>2057999.9999999998</v>
      </c>
      <c r="U4" s="40">
        <f t="shared" si="1"/>
        <v>2057999.9999999998</v>
      </c>
    </row>
    <row r="5" spans="1:21" x14ac:dyDescent="0.25">
      <c r="A5" s="36"/>
      <c r="B5" s="62" t="s">
        <v>62</v>
      </c>
      <c r="C5" s="37" t="s">
        <v>63</v>
      </c>
      <c r="D5" s="40">
        <v>50</v>
      </c>
      <c r="E5" s="40">
        <v>300</v>
      </c>
      <c r="F5" s="40">
        <f>D5*E5</f>
        <v>15000</v>
      </c>
      <c r="G5" s="40">
        <f>F5</f>
        <v>15000</v>
      </c>
      <c r="H5" s="40">
        <f>D5*E5</f>
        <v>15000</v>
      </c>
      <c r="I5" s="40">
        <f>D5*E5</f>
        <v>15000</v>
      </c>
      <c r="J5" s="40">
        <f>D5*E5</f>
        <v>15000</v>
      </c>
      <c r="K5" s="40">
        <f t="shared" si="1"/>
        <v>15000</v>
      </c>
      <c r="L5" s="40">
        <f t="shared" si="1"/>
        <v>15000</v>
      </c>
      <c r="M5" s="40">
        <f t="shared" si="1"/>
        <v>15000</v>
      </c>
      <c r="N5" s="40">
        <f t="shared" si="1"/>
        <v>15000</v>
      </c>
      <c r="O5" s="40">
        <f t="shared" si="1"/>
        <v>15000</v>
      </c>
      <c r="P5" s="40">
        <f t="shared" si="1"/>
        <v>15000</v>
      </c>
      <c r="Q5" s="40">
        <f t="shared" si="1"/>
        <v>15000</v>
      </c>
      <c r="R5" s="40">
        <f t="shared" si="1"/>
        <v>15000</v>
      </c>
      <c r="S5" s="40">
        <f t="shared" si="1"/>
        <v>15000</v>
      </c>
      <c r="T5" s="40">
        <f t="shared" si="1"/>
        <v>15000</v>
      </c>
      <c r="U5" s="40">
        <f t="shared" si="1"/>
        <v>15000</v>
      </c>
    </row>
    <row r="6" spans="1:21" x14ac:dyDescent="0.25">
      <c r="A6" s="36"/>
      <c r="B6" s="62" t="s">
        <v>64</v>
      </c>
      <c r="C6" s="37" t="s">
        <v>65</v>
      </c>
      <c r="D6" s="40">
        <v>4</v>
      </c>
      <c r="E6" s="40">
        <v>50000</v>
      </c>
      <c r="F6" s="40">
        <f>E6*D6</f>
        <v>200000</v>
      </c>
      <c r="G6" s="40"/>
      <c r="H6" s="40"/>
      <c r="I6" s="40"/>
      <c r="J6" s="40">
        <f>F6</f>
        <v>200000</v>
      </c>
      <c r="K6" s="40">
        <f>J6</f>
        <v>200000</v>
      </c>
      <c r="L6" s="40">
        <f>K6</f>
        <v>200000</v>
      </c>
      <c r="M6" s="40">
        <f>L6</f>
        <v>200000</v>
      </c>
      <c r="N6" s="40">
        <f t="shared" ref="N6:U6" si="2">J6</f>
        <v>200000</v>
      </c>
      <c r="O6" s="40">
        <f t="shared" si="2"/>
        <v>200000</v>
      </c>
      <c r="P6" s="40">
        <f t="shared" si="2"/>
        <v>200000</v>
      </c>
      <c r="Q6" s="40">
        <f t="shared" si="2"/>
        <v>200000</v>
      </c>
      <c r="R6" s="40">
        <f t="shared" si="2"/>
        <v>200000</v>
      </c>
      <c r="S6" s="40">
        <f t="shared" si="2"/>
        <v>200000</v>
      </c>
      <c r="T6" s="40">
        <f t="shared" si="2"/>
        <v>200000</v>
      </c>
      <c r="U6" s="40">
        <f t="shared" si="2"/>
        <v>200000</v>
      </c>
    </row>
    <row r="7" spans="1:21" x14ac:dyDescent="0.25">
      <c r="A7" s="36"/>
      <c r="B7" s="38" t="s">
        <v>30</v>
      </c>
      <c r="C7" s="37"/>
      <c r="D7" s="40"/>
      <c r="E7" s="40"/>
      <c r="F7" s="39">
        <f t="shared" ref="F7:U7" si="3">SUM(F4:F6)</f>
        <v>3155000</v>
      </c>
      <c r="G7" s="39">
        <f t="shared" si="3"/>
        <v>15000</v>
      </c>
      <c r="H7" s="39">
        <f t="shared" si="3"/>
        <v>897000</v>
      </c>
      <c r="I7" s="39">
        <f t="shared" si="3"/>
        <v>1485000</v>
      </c>
      <c r="J7" s="39">
        <f t="shared" si="3"/>
        <v>2273000</v>
      </c>
      <c r="K7" s="39">
        <f t="shared" si="3"/>
        <v>2273000</v>
      </c>
      <c r="L7" s="39">
        <f t="shared" si="3"/>
        <v>2273000</v>
      </c>
      <c r="M7" s="39">
        <f t="shared" si="3"/>
        <v>2273000</v>
      </c>
      <c r="N7" s="39">
        <f t="shared" si="3"/>
        <v>2273000</v>
      </c>
      <c r="O7" s="39">
        <f t="shared" si="3"/>
        <v>2273000</v>
      </c>
      <c r="P7" s="39">
        <f t="shared" si="3"/>
        <v>2273000</v>
      </c>
      <c r="Q7" s="39">
        <f t="shared" si="3"/>
        <v>2273000</v>
      </c>
      <c r="R7" s="39">
        <f t="shared" si="3"/>
        <v>2273000</v>
      </c>
      <c r="S7" s="39">
        <f t="shared" si="3"/>
        <v>2273000</v>
      </c>
      <c r="T7" s="39">
        <f t="shared" si="3"/>
        <v>2273000</v>
      </c>
      <c r="U7" s="39">
        <f t="shared" si="3"/>
        <v>2273000</v>
      </c>
    </row>
    <row r="8" spans="1:21" x14ac:dyDescent="0.25">
      <c r="A8" s="36"/>
      <c r="B8" s="37"/>
      <c r="C8" s="37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</row>
    <row r="9" spans="1:21" x14ac:dyDescent="0.25">
      <c r="A9" s="36"/>
      <c r="B9" s="43" t="s">
        <v>31</v>
      </c>
      <c r="C9" s="37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</row>
    <row r="10" spans="1:21" x14ac:dyDescent="0.25">
      <c r="A10" s="36"/>
      <c r="B10" s="38" t="s">
        <v>32</v>
      </c>
      <c r="C10" s="37"/>
      <c r="D10" s="40"/>
      <c r="E10" s="40"/>
      <c r="F10" s="44"/>
      <c r="G10" s="40"/>
      <c r="H10" s="40"/>
      <c r="I10" s="40"/>
      <c r="J10" s="40"/>
      <c r="K10" s="40"/>
      <c r="L10" s="40"/>
      <c r="M10" s="40"/>
      <c r="N10" s="40"/>
      <c r="O10" s="40"/>
      <c r="P10" s="40"/>
    </row>
    <row r="11" spans="1:21" x14ac:dyDescent="0.25">
      <c r="A11" s="36"/>
      <c r="B11" s="63" t="s">
        <v>66</v>
      </c>
      <c r="C11" s="37" t="s">
        <v>36</v>
      </c>
      <c r="D11" s="40">
        <v>20</v>
      </c>
      <c r="E11" s="40">
        <v>40000</v>
      </c>
      <c r="F11" s="40">
        <f>D11*E11</f>
        <v>800000</v>
      </c>
      <c r="G11" s="40">
        <f>D11*E11</f>
        <v>800000</v>
      </c>
      <c r="H11" s="40">
        <v>0</v>
      </c>
      <c r="I11" s="40">
        <v>0</v>
      </c>
      <c r="J11" s="40">
        <v>0</v>
      </c>
      <c r="K11" s="40"/>
      <c r="L11" s="40"/>
      <c r="M11" s="40"/>
      <c r="N11" s="40"/>
      <c r="O11" s="40"/>
      <c r="P11" s="40">
        <f>K11</f>
        <v>0</v>
      </c>
      <c r="U11" s="48"/>
    </row>
    <row r="12" spans="1:21" x14ac:dyDescent="0.25">
      <c r="A12" s="36"/>
      <c r="B12" s="63" t="s">
        <v>67</v>
      </c>
      <c r="C12" s="37" t="s">
        <v>36</v>
      </c>
      <c r="D12" s="40">
        <v>2</v>
      </c>
      <c r="E12" s="40">
        <v>800000</v>
      </c>
      <c r="F12" s="40">
        <f t="shared" ref="F12:F21" si="4">D12*E12</f>
        <v>1600000</v>
      </c>
      <c r="G12" s="40">
        <f>D12*E12</f>
        <v>1600000</v>
      </c>
      <c r="H12" s="40">
        <v>0</v>
      </c>
      <c r="I12" s="40">
        <v>0</v>
      </c>
      <c r="J12" s="40">
        <v>0</v>
      </c>
      <c r="K12" s="40">
        <v>0</v>
      </c>
      <c r="L12" s="40"/>
      <c r="M12" s="40"/>
      <c r="N12" s="40"/>
      <c r="O12" s="40"/>
      <c r="P12" s="40"/>
    </row>
    <row r="13" spans="1:21" x14ac:dyDescent="0.25">
      <c r="A13" s="36"/>
      <c r="B13" s="38" t="s">
        <v>37</v>
      </c>
      <c r="C13" s="37"/>
      <c r="D13" s="40"/>
      <c r="E13" s="40"/>
      <c r="F13" s="39">
        <f t="shared" ref="F13:U13" si="5">SUM(F11:F12)</f>
        <v>2400000</v>
      </c>
      <c r="G13" s="39">
        <f t="shared" si="5"/>
        <v>2400000</v>
      </c>
      <c r="H13" s="39">
        <f t="shared" si="5"/>
        <v>0</v>
      </c>
      <c r="I13" s="39">
        <f t="shared" si="5"/>
        <v>0</v>
      </c>
      <c r="J13" s="39">
        <f t="shared" si="5"/>
        <v>0</v>
      </c>
      <c r="K13" s="39">
        <f t="shared" si="5"/>
        <v>0</v>
      </c>
      <c r="L13" s="39">
        <f t="shared" si="5"/>
        <v>0</v>
      </c>
      <c r="M13" s="39">
        <f t="shared" si="5"/>
        <v>0</v>
      </c>
      <c r="N13" s="39">
        <f t="shared" si="5"/>
        <v>0</v>
      </c>
      <c r="O13" s="39">
        <f t="shared" si="5"/>
        <v>0</v>
      </c>
      <c r="P13" s="39">
        <f t="shared" si="5"/>
        <v>0</v>
      </c>
      <c r="Q13" s="39">
        <f t="shared" si="5"/>
        <v>0</v>
      </c>
      <c r="R13" s="39">
        <f t="shared" si="5"/>
        <v>0</v>
      </c>
      <c r="S13" s="39">
        <f t="shared" si="5"/>
        <v>0</v>
      </c>
      <c r="T13" s="39">
        <f t="shared" si="5"/>
        <v>0</v>
      </c>
      <c r="U13" s="39">
        <f t="shared" si="5"/>
        <v>0</v>
      </c>
    </row>
    <row r="14" spans="1:21" x14ac:dyDescent="0.25">
      <c r="A14" s="36"/>
      <c r="B14" s="37"/>
      <c r="C14" s="37"/>
      <c r="D14" s="40"/>
      <c r="E14" s="40"/>
      <c r="F14" s="40">
        <f t="shared" si="4"/>
        <v>0</v>
      </c>
      <c r="G14" s="40"/>
      <c r="H14" s="40"/>
      <c r="I14" s="40"/>
      <c r="J14" s="40"/>
      <c r="K14" s="40"/>
      <c r="L14" s="40"/>
      <c r="M14" s="40"/>
      <c r="N14" s="40"/>
      <c r="O14" s="40"/>
      <c r="P14" s="40"/>
    </row>
    <row r="15" spans="1:21" x14ac:dyDescent="0.25">
      <c r="A15" s="36"/>
      <c r="B15" s="38" t="s">
        <v>38</v>
      </c>
      <c r="C15" s="37"/>
      <c r="D15" s="40"/>
      <c r="E15" s="40"/>
      <c r="F15" s="40">
        <f t="shared" si="4"/>
        <v>0</v>
      </c>
      <c r="G15" s="40"/>
      <c r="H15" s="40"/>
      <c r="I15" s="40"/>
      <c r="J15" s="40"/>
      <c r="K15" s="40"/>
      <c r="L15" s="40"/>
      <c r="M15" s="40"/>
      <c r="N15" s="40"/>
      <c r="O15" s="40"/>
      <c r="P15" s="40"/>
    </row>
    <row r="16" spans="1:21" x14ac:dyDescent="0.25">
      <c r="B16" s="64" t="s">
        <v>68</v>
      </c>
      <c r="C16" s="37" t="s">
        <v>40</v>
      </c>
      <c r="D16" s="40">
        <v>2</v>
      </c>
      <c r="E16" s="40">
        <v>10000</v>
      </c>
      <c r="F16" s="40">
        <f>D16*E16</f>
        <v>20000</v>
      </c>
      <c r="G16" s="40">
        <f>F16</f>
        <v>20000</v>
      </c>
      <c r="H16" s="40">
        <f>F16</f>
        <v>20000</v>
      </c>
      <c r="I16" s="40">
        <f t="shared" ref="I16:U21" si="6">H16</f>
        <v>20000</v>
      </c>
      <c r="J16" s="40">
        <f t="shared" si="6"/>
        <v>20000</v>
      </c>
      <c r="K16" s="40">
        <f t="shared" si="6"/>
        <v>20000</v>
      </c>
      <c r="L16" s="40">
        <f t="shared" si="6"/>
        <v>20000</v>
      </c>
      <c r="M16" s="40">
        <f t="shared" si="6"/>
        <v>20000</v>
      </c>
      <c r="N16" s="40">
        <f t="shared" si="6"/>
        <v>20000</v>
      </c>
      <c r="O16" s="40">
        <f t="shared" si="6"/>
        <v>20000</v>
      </c>
      <c r="P16" s="40">
        <f t="shared" si="6"/>
        <v>20000</v>
      </c>
      <c r="Q16" s="40">
        <f t="shared" si="6"/>
        <v>20000</v>
      </c>
      <c r="R16" s="40">
        <f t="shared" si="6"/>
        <v>20000</v>
      </c>
      <c r="S16" s="40">
        <f t="shared" si="6"/>
        <v>20000</v>
      </c>
      <c r="T16" s="40">
        <f t="shared" si="6"/>
        <v>20000</v>
      </c>
      <c r="U16" s="40">
        <f t="shared" si="6"/>
        <v>20000</v>
      </c>
    </row>
    <row r="17" spans="1:22" x14ac:dyDescent="0.25">
      <c r="A17" s="36"/>
      <c r="B17" s="45" t="s">
        <v>41</v>
      </c>
      <c r="C17" s="37" t="s">
        <v>40</v>
      </c>
      <c r="D17" s="40">
        <v>150</v>
      </c>
      <c r="E17" s="40">
        <v>1000</v>
      </c>
      <c r="F17" s="40">
        <f>D17*E17</f>
        <v>150000</v>
      </c>
      <c r="G17" s="40">
        <f>F17</f>
        <v>150000</v>
      </c>
      <c r="H17" s="40">
        <f>F17</f>
        <v>150000</v>
      </c>
      <c r="I17" s="40">
        <f>H17</f>
        <v>150000</v>
      </c>
      <c r="J17" s="40">
        <f>I17</f>
        <v>150000</v>
      </c>
      <c r="K17" s="40">
        <f t="shared" si="6"/>
        <v>150000</v>
      </c>
      <c r="L17" s="40">
        <f t="shared" si="6"/>
        <v>150000</v>
      </c>
      <c r="M17" s="40">
        <f t="shared" si="6"/>
        <v>150000</v>
      </c>
      <c r="N17" s="40">
        <f t="shared" si="6"/>
        <v>150000</v>
      </c>
      <c r="O17" s="40">
        <f t="shared" si="6"/>
        <v>150000</v>
      </c>
      <c r="P17" s="40">
        <f t="shared" si="6"/>
        <v>150000</v>
      </c>
      <c r="Q17" s="40">
        <f t="shared" si="6"/>
        <v>150000</v>
      </c>
      <c r="R17" s="40">
        <f t="shared" si="6"/>
        <v>150000</v>
      </c>
      <c r="S17" s="40">
        <f t="shared" si="6"/>
        <v>150000</v>
      </c>
      <c r="T17" s="40">
        <f t="shared" si="6"/>
        <v>150000</v>
      </c>
      <c r="U17" s="40">
        <f t="shared" si="6"/>
        <v>150000</v>
      </c>
    </row>
    <row r="18" spans="1:22" x14ac:dyDescent="0.25">
      <c r="A18" s="36"/>
      <c r="B18" s="45" t="s">
        <v>42</v>
      </c>
      <c r="C18" s="37" t="s">
        <v>40</v>
      </c>
      <c r="D18" s="40">
        <v>2</v>
      </c>
      <c r="E18" s="40">
        <v>10000</v>
      </c>
      <c r="F18" s="40">
        <v>3000</v>
      </c>
      <c r="G18" s="40">
        <f>F18</f>
        <v>3000</v>
      </c>
      <c r="H18" s="40">
        <f>D18*E18*1</f>
        <v>20000</v>
      </c>
      <c r="I18" s="40">
        <f>D18*E18*1</f>
        <v>20000</v>
      </c>
      <c r="J18" s="40">
        <f>D18*E18</f>
        <v>20000</v>
      </c>
      <c r="K18" s="40">
        <f t="shared" si="6"/>
        <v>20000</v>
      </c>
      <c r="L18" s="40">
        <f t="shared" si="6"/>
        <v>20000</v>
      </c>
      <c r="M18" s="40">
        <f t="shared" si="6"/>
        <v>20000</v>
      </c>
      <c r="N18" s="40">
        <f t="shared" si="6"/>
        <v>20000</v>
      </c>
      <c r="O18" s="40">
        <f t="shared" si="6"/>
        <v>20000</v>
      </c>
      <c r="P18" s="40">
        <f t="shared" si="6"/>
        <v>20000</v>
      </c>
      <c r="Q18" s="40">
        <f t="shared" si="6"/>
        <v>20000</v>
      </c>
      <c r="R18" s="40">
        <f t="shared" si="6"/>
        <v>20000</v>
      </c>
      <c r="S18" s="40">
        <f t="shared" si="6"/>
        <v>20000</v>
      </c>
      <c r="T18" s="40">
        <f t="shared" si="6"/>
        <v>20000</v>
      </c>
      <c r="U18" s="40">
        <f t="shared" si="6"/>
        <v>20000</v>
      </c>
      <c r="V18" s="46"/>
    </row>
    <row r="19" spans="1:22" x14ac:dyDescent="0.25">
      <c r="A19" s="36"/>
      <c r="B19" s="45" t="s">
        <v>238</v>
      </c>
      <c r="C19" s="37" t="s">
        <v>40</v>
      </c>
      <c r="D19" s="40">
        <v>2</v>
      </c>
      <c r="E19" s="40">
        <v>300000</v>
      </c>
      <c r="F19" s="40">
        <f t="shared" si="4"/>
        <v>600000</v>
      </c>
      <c r="G19" s="40">
        <f>F19</f>
        <v>600000</v>
      </c>
      <c r="H19" s="40">
        <f>F19</f>
        <v>600000</v>
      </c>
      <c r="I19" s="40">
        <f t="shared" ref="I19:P21" si="7">H19</f>
        <v>600000</v>
      </c>
      <c r="J19" s="40">
        <f t="shared" si="7"/>
        <v>600000</v>
      </c>
      <c r="K19" s="40">
        <f t="shared" si="7"/>
        <v>600000</v>
      </c>
      <c r="L19" s="40">
        <f t="shared" si="7"/>
        <v>600000</v>
      </c>
      <c r="M19" s="40">
        <f t="shared" si="7"/>
        <v>600000</v>
      </c>
      <c r="N19" s="40">
        <f t="shared" si="7"/>
        <v>600000</v>
      </c>
      <c r="O19" s="40">
        <f t="shared" si="7"/>
        <v>600000</v>
      </c>
      <c r="P19" s="40">
        <f t="shared" si="7"/>
        <v>600000</v>
      </c>
      <c r="Q19" s="40">
        <f t="shared" si="6"/>
        <v>600000</v>
      </c>
      <c r="R19" s="40">
        <f t="shared" si="6"/>
        <v>600000</v>
      </c>
      <c r="S19" s="40">
        <f t="shared" si="6"/>
        <v>600000</v>
      </c>
      <c r="T19" s="40">
        <f t="shared" si="6"/>
        <v>600000</v>
      </c>
      <c r="U19" s="40">
        <f t="shared" si="6"/>
        <v>600000</v>
      </c>
      <c r="V19" s="46"/>
    </row>
    <row r="20" spans="1:22" x14ac:dyDescent="0.25">
      <c r="A20" s="36"/>
      <c r="B20" s="45" t="s">
        <v>69</v>
      </c>
      <c r="C20" s="37" t="s">
        <v>40</v>
      </c>
      <c r="D20" s="40">
        <v>2</v>
      </c>
      <c r="E20" s="40">
        <v>80000</v>
      </c>
      <c r="F20" s="40">
        <f t="shared" si="4"/>
        <v>160000</v>
      </c>
      <c r="G20" s="40">
        <f t="shared" ref="G20:U21" si="8">F20</f>
        <v>160000</v>
      </c>
      <c r="H20" s="40">
        <f t="shared" si="8"/>
        <v>160000</v>
      </c>
      <c r="I20" s="40">
        <f t="shared" si="8"/>
        <v>160000</v>
      </c>
      <c r="J20" s="40">
        <f t="shared" si="8"/>
        <v>160000</v>
      </c>
      <c r="K20" s="40">
        <f t="shared" si="8"/>
        <v>160000</v>
      </c>
      <c r="L20" s="40">
        <f t="shared" si="8"/>
        <v>160000</v>
      </c>
      <c r="M20" s="40">
        <f t="shared" si="8"/>
        <v>160000</v>
      </c>
      <c r="N20" s="40">
        <f t="shared" si="8"/>
        <v>160000</v>
      </c>
      <c r="O20" s="40">
        <f t="shared" si="8"/>
        <v>160000</v>
      </c>
      <c r="P20" s="40">
        <f t="shared" si="8"/>
        <v>160000</v>
      </c>
      <c r="Q20" s="40">
        <f t="shared" si="8"/>
        <v>160000</v>
      </c>
      <c r="R20" s="40">
        <f t="shared" si="8"/>
        <v>160000</v>
      </c>
      <c r="S20" s="40">
        <f t="shared" si="8"/>
        <v>160000</v>
      </c>
      <c r="T20" s="40">
        <f t="shared" si="8"/>
        <v>160000</v>
      </c>
      <c r="U20" s="40">
        <f t="shared" si="8"/>
        <v>160000</v>
      </c>
      <c r="V20" s="46"/>
    </row>
    <row r="21" spans="1:22" x14ac:dyDescent="0.25">
      <c r="A21" s="36"/>
      <c r="B21" s="45" t="s">
        <v>239</v>
      </c>
      <c r="C21" s="37" t="s">
        <v>70</v>
      </c>
      <c r="D21" s="40">
        <v>1</v>
      </c>
      <c r="E21" s="40">
        <v>15000</v>
      </c>
      <c r="F21" s="40">
        <f t="shared" si="4"/>
        <v>15000</v>
      </c>
      <c r="G21" s="40">
        <f t="shared" si="8"/>
        <v>15000</v>
      </c>
      <c r="H21" s="40">
        <f>F21</f>
        <v>15000</v>
      </c>
      <c r="I21" s="40">
        <f>F21</f>
        <v>15000</v>
      </c>
      <c r="J21" s="40">
        <f>F21</f>
        <v>15000</v>
      </c>
      <c r="K21" s="40">
        <f>J21</f>
        <v>15000</v>
      </c>
      <c r="L21" s="40">
        <f t="shared" si="7"/>
        <v>15000</v>
      </c>
      <c r="M21" s="40">
        <f t="shared" si="7"/>
        <v>15000</v>
      </c>
      <c r="N21" s="40">
        <f t="shared" si="7"/>
        <v>15000</v>
      </c>
      <c r="O21" s="40">
        <f t="shared" si="7"/>
        <v>15000</v>
      </c>
      <c r="P21" s="40">
        <f t="shared" si="7"/>
        <v>15000</v>
      </c>
      <c r="Q21" s="40">
        <f t="shared" si="6"/>
        <v>15000</v>
      </c>
      <c r="R21" s="40">
        <f t="shared" si="6"/>
        <v>15000</v>
      </c>
      <c r="S21" s="40">
        <f t="shared" si="6"/>
        <v>15000</v>
      </c>
      <c r="T21" s="40">
        <f t="shared" si="6"/>
        <v>15000</v>
      </c>
      <c r="U21" s="40">
        <f t="shared" si="6"/>
        <v>15000</v>
      </c>
    </row>
    <row r="22" spans="1:22" x14ac:dyDescent="0.25">
      <c r="A22" s="36"/>
      <c r="B22" s="38" t="s">
        <v>44</v>
      </c>
      <c r="C22" s="37"/>
      <c r="D22" s="40"/>
      <c r="E22" s="40"/>
      <c r="F22" s="39">
        <f>SUM(F16:F21)</f>
        <v>948000</v>
      </c>
      <c r="G22" s="39">
        <f t="shared" ref="G22:U22" si="9">SUM(G16:G21)</f>
        <v>948000</v>
      </c>
      <c r="H22" s="39">
        <f t="shared" si="9"/>
        <v>965000</v>
      </c>
      <c r="I22" s="39">
        <f t="shared" si="9"/>
        <v>965000</v>
      </c>
      <c r="J22" s="39">
        <f t="shared" si="9"/>
        <v>965000</v>
      </c>
      <c r="K22" s="39">
        <f t="shared" si="9"/>
        <v>965000</v>
      </c>
      <c r="L22" s="39">
        <f t="shared" si="9"/>
        <v>965000</v>
      </c>
      <c r="M22" s="39">
        <f t="shared" si="9"/>
        <v>965000</v>
      </c>
      <c r="N22" s="39">
        <f t="shared" si="9"/>
        <v>965000</v>
      </c>
      <c r="O22" s="39">
        <f t="shared" si="9"/>
        <v>965000</v>
      </c>
      <c r="P22" s="39">
        <f t="shared" si="9"/>
        <v>965000</v>
      </c>
      <c r="Q22" s="39">
        <f t="shared" si="9"/>
        <v>965000</v>
      </c>
      <c r="R22" s="39">
        <f t="shared" si="9"/>
        <v>965000</v>
      </c>
      <c r="S22" s="39">
        <f t="shared" si="9"/>
        <v>965000</v>
      </c>
      <c r="T22" s="39">
        <f t="shared" si="9"/>
        <v>965000</v>
      </c>
      <c r="U22" s="39">
        <f t="shared" si="9"/>
        <v>965000</v>
      </c>
    </row>
    <row r="23" spans="1:22" x14ac:dyDescent="0.25">
      <c r="A23" s="36"/>
      <c r="B23" s="47"/>
      <c r="C23" s="37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</row>
    <row r="24" spans="1:22" x14ac:dyDescent="0.25">
      <c r="A24" s="36"/>
      <c r="B24" s="38" t="s">
        <v>45</v>
      </c>
      <c r="C24" s="37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</row>
    <row r="25" spans="1:22" x14ac:dyDescent="0.25">
      <c r="A25" s="36"/>
      <c r="B25" s="37" t="s">
        <v>46</v>
      </c>
      <c r="C25" s="37" t="s">
        <v>47</v>
      </c>
      <c r="D25" s="40">
        <v>1</v>
      </c>
      <c r="E25" s="40">
        <f>E12/15</f>
        <v>53333.333333333336</v>
      </c>
      <c r="F25" s="40">
        <f>D25*E25</f>
        <v>53333.333333333336</v>
      </c>
      <c r="G25" s="40">
        <f>F25</f>
        <v>53333.333333333336</v>
      </c>
      <c r="H25" s="40">
        <f>D25*E25</f>
        <v>53333.333333333336</v>
      </c>
      <c r="I25" s="40">
        <f t="shared" ref="I25:U25" si="10">H25</f>
        <v>53333.333333333336</v>
      </c>
      <c r="J25" s="40">
        <f t="shared" si="10"/>
        <v>53333.333333333336</v>
      </c>
      <c r="K25" s="40">
        <f t="shared" si="10"/>
        <v>53333.333333333336</v>
      </c>
      <c r="L25" s="40">
        <f t="shared" si="10"/>
        <v>53333.333333333336</v>
      </c>
      <c r="M25" s="40">
        <f t="shared" si="10"/>
        <v>53333.333333333336</v>
      </c>
      <c r="N25" s="40">
        <f t="shared" si="10"/>
        <v>53333.333333333336</v>
      </c>
      <c r="O25" s="40">
        <f t="shared" si="10"/>
        <v>53333.333333333336</v>
      </c>
      <c r="P25" s="40">
        <f t="shared" si="10"/>
        <v>53333.333333333336</v>
      </c>
      <c r="Q25" s="40">
        <f t="shared" si="10"/>
        <v>53333.333333333336</v>
      </c>
      <c r="R25" s="40">
        <f t="shared" si="10"/>
        <v>53333.333333333336</v>
      </c>
      <c r="S25" s="40">
        <f t="shared" si="10"/>
        <v>53333.333333333336</v>
      </c>
      <c r="T25" s="40">
        <f t="shared" si="10"/>
        <v>53333.333333333336</v>
      </c>
      <c r="U25" s="40">
        <f t="shared" si="10"/>
        <v>53333.333333333336</v>
      </c>
      <c r="V25" s="48">
        <f>SUM(H25:U25)</f>
        <v>746666.66666666674</v>
      </c>
    </row>
    <row r="26" spans="1:22" x14ac:dyDescent="0.25">
      <c r="A26" s="36"/>
      <c r="B26" s="38" t="s">
        <v>48</v>
      </c>
      <c r="C26" s="37"/>
      <c r="D26" s="40"/>
      <c r="E26" s="40"/>
      <c r="F26" s="39">
        <f t="shared" ref="F26:U26" si="11">SUM(F25:F25)</f>
        <v>53333.333333333336</v>
      </c>
      <c r="G26" s="39">
        <f t="shared" si="11"/>
        <v>53333.333333333336</v>
      </c>
      <c r="H26" s="39">
        <f t="shared" si="11"/>
        <v>53333.333333333336</v>
      </c>
      <c r="I26" s="39">
        <f t="shared" si="11"/>
        <v>53333.333333333336</v>
      </c>
      <c r="J26" s="39">
        <f t="shared" si="11"/>
        <v>53333.333333333336</v>
      </c>
      <c r="K26" s="39">
        <f t="shared" si="11"/>
        <v>53333.333333333336</v>
      </c>
      <c r="L26" s="39">
        <f t="shared" si="11"/>
        <v>53333.333333333336</v>
      </c>
      <c r="M26" s="39">
        <f t="shared" si="11"/>
        <v>53333.333333333336</v>
      </c>
      <c r="N26" s="39">
        <f t="shared" si="11"/>
        <v>53333.333333333336</v>
      </c>
      <c r="O26" s="39">
        <f t="shared" si="11"/>
        <v>53333.333333333336</v>
      </c>
      <c r="P26" s="39">
        <f t="shared" si="11"/>
        <v>53333.333333333336</v>
      </c>
      <c r="Q26" s="39">
        <f t="shared" si="11"/>
        <v>53333.333333333336</v>
      </c>
      <c r="R26" s="39">
        <f t="shared" si="11"/>
        <v>53333.333333333336</v>
      </c>
      <c r="S26" s="39">
        <f t="shared" si="11"/>
        <v>53333.333333333336</v>
      </c>
      <c r="T26" s="39">
        <f t="shared" si="11"/>
        <v>53333.333333333336</v>
      </c>
      <c r="U26" s="39">
        <f t="shared" si="11"/>
        <v>53333.333333333336</v>
      </c>
    </row>
    <row r="27" spans="1:22" x14ac:dyDescent="0.25">
      <c r="A27" s="36"/>
      <c r="B27" s="38" t="s">
        <v>49</v>
      </c>
      <c r="C27" s="37"/>
      <c r="D27" s="40"/>
      <c r="E27" s="40"/>
      <c r="F27" s="39">
        <f t="shared" ref="F27:U27" si="12">F13+F22+F26</f>
        <v>3401333.3333333335</v>
      </c>
      <c r="G27" s="39">
        <f t="shared" si="12"/>
        <v>3401333.3333333335</v>
      </c>
      <c r="H27" s="39">
        <f t="shared" si="12"/>
        <v>1018333.3333333334</v>
      </c>
      <c r="I27" s="39">
        <f t="shared" si="12"/>
        <v>1018333.3333333334</v>
      </c>
      <c r="J27" s="39">
        <f t="shared" si="12"/>
        <v>1018333.3333333334</v>
      </c>
      <c r="K27" s="39">
        <f t="shared" si="12"/>
        <v>1018333.3333333334</v>
      </c>
      <c r="L27" s="39">
        <f t="shared" si="12"/>
        <v>1018333.3333333334</v>
      </c>
      <c r="M27" s="39">
        <f t="shared" si="12"/>
        <v>1018333.3333333334</v>
      </c>
      <c r="N27" s="39">
        <f t="shared" si="12"/>
        <v>1018333.3333333334</v>
      </c>
      <c r="O27" s="39">
        <f t="shared" si="12"/>
        <v>1018333.3333333334</v>
      </c>
      <c r="P27" s="39">
        <f t="shared" si="12"/>
        <v>1018333.3333333334</v>
      </c>
      <c r="Q27" s="39">
        <f t="shared" si="12"/>
        <v>1018333.3333333334</v>
      </c>
      <c r="R27" s="39">
        <f t="shared" si="12"/>
        <v>1018333.3333333334</v>
      </c>
      <c r="S27" s="39">
        <f t="shared" si="12"/>
        <v>1018333.3333333334</v>
      </c>
      <c r="T27" s="39">
        <f t="shared" si="12"/>
        <v>1018333.3333333334</v>
      </c>
      <c r="U27" s="39">
        <f t="shared" si="12"/>
        <v>1018333.3333333334</v>
      </c>
    </row>
    <row r="28" spans="1:22" x14ac:dyDescent="0.25">
      <c r="A28" s="36"/>
      <c r="B28" s="38"/>
      <c r="C28" s="37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</row>
    <row r="29" spans="1:22" x14ac:dyDescent="0.25">
      <c r="A29" s="36"/>
      <c r="B29" s="38" t="s">
        <v>50</v>
      </c>
      <c r="C29" s="37" t="s">
        <v>47</v>
      </c>
      <c r="D29" s="40"/>
      <c r="E29" s="40"/>
      <c r="F29" s="40"/>
      <c r="G29" s="39">
        <f t="shared" ref="G29:U29" si="13">G7-G13-G22</f>
        <v>-3333000</v>
      </c>
      <c r="H29" s="39">
        <f t="shared" si="13"/>
        <v>-68000</v>
      </c>
      <c r="I29" s="39">
        <f t="shared" si="13"/>
        <v>520000</v>
      </c>
      <c r="J29" s="39">
        <f t="shared" si="13"/>
        <v>1308000</v>
      </c>
      <c r="K29" s="39">
        <f t="shared" si="13"/>
        <v>1308000</v>
      </c>
      <c r="L29" s="39">
        <f t="shared" si="13"/>
        <v>1308000</v>
      </c>
      <c r="M29" s="39">
        <f t="shared" si="13"/>
        <v>1308000</v>
      </c>
      <c r="N29" s="39">
        <f t="shared" si="13"/>
        <v>1308000</v>
      </c>
      <c r="O29" s="39">
        <f t="shared" si="13"/>
        <v>1308000</v>
      </c>
      <c r="P29" s="39">
        <f t="shared" si="13"/>
        <v>1308000</v>
      </c>
      <c r="Q29" s="39">
        <f t="shared" si="13"/>
        <v>1308000</v>
      </c>
      <c r="R29" s="39">
        <f t="shared" si="13"/>
        <v>1308000</v>
      </c>
      <c r="S29" s="39">
        <f t="shared" si="13"/>
        <v>1308000</v>
      </c>
      <c r="T29" s="39">
        <f t="shared" si="13"/>
        <v>1308000</v>
      </c>
      <c r="U29" s="39">
        <f t="shared" si="13"/>
        <v>1308000</v>
      </c>
    </row>
    <row r="30" spans="1:22" x14ac:dyDescent="0.25">
      <c r="A30" s="36"/>
      <c r="B30" s="38" t="s">
        <v>71</v>
      </c>
      <c r="C30" s="37" t="s">
        <v>47</v>
      </c>
      <c r="D30" s="40"/>
      <c r="E30" s="40"/>
      <c r="F30" s="40"/>
      <c r="G30" s="39">
        <f>G29-G26</f>
        <v>-3386333.3333333335</v>
      </c>
      <c r="H30" s="39">
        <f>(H29-H26)</f>
        <v>-121333.33333333334</v>
      </c>
      <c r="I30" s="39">
        <f>(I29-I26)</f>
        <v>466666.66666666669</v>
      </c>
      <c r="J30" s="39">
        <f>J29-J26</f>
        <v>1254666.6666666667</v>
      </c>
      <c r="K30" s="39">
        <f>K29-K26</f>
        <v>1254666.6666666667</v>
      </c>
      <c r="L30" s="39">
        <f t="shared" ref="L30:U30" si="14">L29-L26</f>
        <v>1254666.6666666667</v>
      </c>
      <c r="M30" s="39">
        <f t="shared" si="14"/>
        <v>1254666.6666666667</v>
      </c>
      <c r="N30" s="39">
        <f t="shared" si="14"/>
        <v>1254666.6666666667</v>
      </c>
      <c r="O30" s="39">
        <f t="shared" si="14"/>
        <v>1254666.6666666667</v>
      </c>
      <c r="P30" s="39">
        <f t="shared" si="14"/>
        <v>1254666.6666666667</v>
      </c>
      <c r="Q30" s="39">
        <f t="shared" si="14"/>
        <v>1254666.6666666667</v>
      </c>
      <c r="R30" s="39">
        <f t="shared" si="14"/>
        <v>1254666.6666666667</v>
      </c>
      <c r="S30" s="39">
        <f t="shared" si="14"/>
        <v>1254666.6666666667</v>
      </c>
      <c r="T30" s="39">
        <f t="shared" si="14"/>
        <v>1254666.6666666667</v>
      </c>
      <c r="U30" s="39">
        <f t="shared" si="14"/>
        <v>1254666.6666666667</v>
      </c>
    </row>
    <row r="31" spans="1:22" x14ac:dyDescent="0.25">
      <c r="A31" s="1"/>
      <c r="B31" s="140" t="s">
        <v>52</v>
      </c>
      <c r="C31" s="141"/>
      <c r="D31" s="141"/>
      <c r="E31" s="141"/>
      <c r="F31" s="142"/>
      <c r="G31" s="53">
        <f>IRR(G30:U30)</f>
        <v>0.23765602090707305</v>
      </c>
      <c r="H31" s="54"/>
      <c r="I31" s="54"/>
      <c r="J31" s="54"/>
      <c r="K31" s="54"/>
      <c r="L31" s="54"/>
      <c r="M31" s="54"/>
      <c r="N31" s="54"/>
      <c r="O31" s="54"/>
      <c r="P31" s="54"/>
    </row>
    <row r="32" spans="1:22" ht="27.75" customHeight="1" x14ac:dyDescent="0.25">
      <c r="A32" s="1"/>
      <c r="B32" s="140" t="s">
        <v>53</v>
      </c>
      <c r="C32" s="141"/>
      <c r="D32" s="141"/>
      <c r="E32" s="141"/>
      <c r="F32" s="142"/>
      <c r="G32" s="55">
        <f>NPV(0.1,G30:U30)</f>
        <v>3594777.3657355751</v>
      </c>
      <c r="H32" s="54"/>
      <c r="I32" s="54"/>
      <c r="J32" s="54"/>
      <c r="K32" s="54"/>
      <c r="L32" s="54"/>
      <c r="M32" s="54"/>
      <c r="N32" s="54"/>
      <c r="O32" s="54"/>
      <c r="P32" s="54"/>
    </row>
    <row r="33" spans="1:21" x14ac:dyDescent="0.25">
      <c r="A33" s="36"/>
      <c r="B33" s="36"/>
      <c r="C33" s="36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</row>
    <row r="34" spans="1:21" x14ac:dyDescent="0.25">
      <c r="A34" s="36"/>
      <c r="B34" s="143" t="s">
        <v>54</v>
      </c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</row>
    <row r="35" spans="1:21" x14ac:dyDescent="0.25">
      <c r="A35" s="36"/>
      <c r="B35" s="37"/>
      <c r="C35" s="38" t="s">
        <v>19</v>
      </c>
      <c r="D35" s="39" t="s">
        <v>20</v>
      </c>
      <c r="E35" s="39" t="s">
        <v>21</v>
      </c>
      <c r="F35" s="39" t="s">
        <v>22</v>
      </c>
      <c r="G35" s="144" t="s">
        <v>23</v>
      </c>
      <c r="H35" s="145"/>
      <c r="I35" s="145"/>
      <c r="J35" s="145"/>
      <c r="K35" s="145"/>
      <c r="L35" s="145"/>
      <c r="M35" s="145"/>
      <c r="N35" s="145"/>
      <c r="O35" s="145"/>
      <c r="P35" s="145"/>
    </row>
    <row r="36" spans="1:21" x14ac:dyDescent="0.25">
      <c r="A36" s="36"/>
      <c r="B36" s="38" t="s">
        <v>24</v>
      </c>
      <c r="C36" s="37"/>
      <c r="D36" s="40"/>
      <c r="E36" s="40"/>
      <c r="F36" s="40"/>
      <c r="G36" s="40">
        <v>1</v>
      </c>
      <c r="H36" s="40">
        <f t="shared" ref="H36:P36" si="15">G36+1</f>
        <v>2</v>
      </c>
      <c r="I36" s="40">
        <f t="shared" si="15"/>
        <v>3</v>
      </c>
      <c r="J36" s="40">
        <f t="shared" si="15"/>
        <v>4</v>
      </c>
      <c r="K36" s="40">
        <f t="shared" si="15"/>
        <v>5</v>
      </c>
      <c r="L36" s="40">
        <f t="shared" si="15"/>
        <v>6</v>
      </c>
      <c r="M36" s="40">
        <f t="shared" si="15"/>
        <v>7</v>
      </c>
      <c r="N36" s="40">
        <f t="shared" si="15"/>
        <v>8</v>
      </c>
      <c r="O36" s="40">
        <f t="shared" si="15"/>
        <v>9</v>
      </c>
      <c r="P36" s="40">
        <f t="shared" si="15"/>
        <v>10</v>
      </c>
      <c r="Q36">
        <v>11</v>
      </c>
      <c r="R36">
        <v>12</v>
      </c>
      <c r="S36">
        <v>13</v>
      </c>
      <c r="T36">
        <v>14</v>
      </c>
      <c r="U36">
        <v>15</v>
      </c>
    </row>
    <row r="37" spans="1:21" ht="35.25" customHeight="1" x14ac:dyDescent="0.25">
      <c r="A37" s="36"/>
      <c r="B37" s="61" t="s">
        <v>60</v>
      </c>
      <c r="C37" s="37" t="s">
        <v>61</v>
      </c>
      <c r="D37" s="40">
        <f>D4</f>
        <v>2100</v>
      </c>
      <c r="E37" s="40">
        <f>E4*0.9</f>
        <v>1260</v>
      </c>
      <c r="F37" s="40">
        <f>D37*E37</f>
        <v>2646000</v>
      </c>
      <c r="G37" s="40"/>
      <c r="H37" s="40">
        <f>F37</f>
        <v>2646000</v>
      </c>
      <c r="I37" s="40">
        <f>F37</f>
        <v>2646000</v>
      </c>
      <c r="J37" s="40">
        <f>F37</f>
        <v>2646000</v>
      </c>
      <c r="K37" s="40">
        <f t="shared" ref="K37:U38" si="16">J37</f>
        <v>2646000</v>
      </c>
      <c r="L37" s="40">
        <f t="shared" si="16"/>
        <v>2646000</v>
      </c>
      <c r="M37" s="40">
        <f t="shared" si="16"/>
        <v>2646000</v>
      </c>
      <c r="N37" s="40">
        <f t="shared" si="16"/>
        <v>2646000</v>
      </c>
      <c r="O37" s="40">
        <f t="shared" si="16"/>
        <v>2646000</v>
      </c>
      <c r="P37" s="40">
        <f t="shared" si="16"/>
        <v>2646000</v>
      </c>
      <c r="Q37" s="40">
        <f t="shared" si="16"/>
        <v>2646000</v>
      </c>
      <c r="R37" s="40">
        <f t="shared" si="16"/>
        <v>2646000</v>
      </c>
      <c r="S37" s="40">
        <f t="shared" si="16"/>
        <v>2646000</v>
      </c>
      <c r="T37" s="40">
        <f t="shared" si="16"/>
        <v>2646000</v>
      </c>
      <c r="U37" s="40">
        <f t="shared" si="16"/>
        <v>2646000</v>
      </c>
    </row>
    <row r="38" spans="1:21" x14ac:dyDescent="0.25">
      <c r="A38" s="36"/>
      <c r="B38" s="62" t="s">
        <v>62</v>
      </c>
      <c r="C38" s="37" t="s">
        <v>63</v>
      </c>
      <c r="D38" s="40">
        <f>D5</f>
        <v>50</v>
      </c>
      <c r="E38" s="40">
        <f>E5*0.9</f>
        <v>270</v>
      </c>
      <c r="F38" s="40">
        <f>D38*E38</f>
        <v>13500</v>
      </c>
      <c r="G38" s="40">
        <f>F38</f>
        <v>13500</v>
      </c>
      <c r="H38" s="40">
        <f>D38*E38</f>
        <v>13500</v>
      </c>
      <c r="I38" s="40">
        <f>D38*E38</f>
        <v>13500</v>
      </c>
      <c r="J38" s="40">
        <f>D38*E38</f>
        <v>13500</v>
      </c>
      <c r="K38" s="40">
        <f t="shared" si="16"/>
        <v>13500</v>
      </c>
      <c r="L38" s="40">
        <f t="shared" si="16"/>
        <v>13500</v>
      </c>
      <c r="M38" s="40">
        <f t="shared" si="16"/>
        <v>13500</v>
      </c>
      <c r="N38" s="40">
        <f t="shared" si="16"/>
        <v>13500</v>
      </c>
      <c r="O38" s="40">
        <f t="shared" si="16"/>
        <v>13500</v>
      </c>
      <c r="P38" s="40">
        <f t="shared" si="16"/>
        <v>13500</v>
      </c>
      <c r="Q38" s="40">
        <f t="shared" si="16"/>
        <v>13500</v>
      </c>
      <c r="R38" s="40">
        <f t="shared" si="16"/>
        <v>13500</v>
      </c>
      <c r="S38" s="40">
        <f t="shared" si="16"/>
        <v>13500</v>
      </c>
      <c r="T38" s="40">
        <f t="shared" si="16"/>
        <v>13500</v>
      </c>
      <c r="U38" s="40">
        <f t="shared" si="16"/>
        <v>13500</v>
      </c>
    </row>
    <row r="39" spans="1:21" x14ac:dyDescent="0.25">
      <c r="A39" s="36"/>
      <c r="B39" s="62" t="s">
        <v>64</v>
      </c>
      <c r="C39" s="37" t="s">
        <v>34</v>
      </c>
      <c r="D39" s="40"/>
      <c r="E39" s="40"/>
      <c r="F39" s="40"/>
      <c r="G39" s="40"/>
      <c r="H39" s="40"/>
      <c r="I39" s="40"/>
      <c r="J39" s="40"/>
      <c r="K39" s="40">
        <f>K6*0.9</f>
        <v>180000</v>
      </c>
      <c r="L39" s="40"/>
      <c r="M39" s="40"/>
      <c r="N39" s="40"/>
      <c r="O39" s="40"/>
      <c r="P39" s="40">
        <f>K39</f>
        <v>180000</v>
      </c>
      <c r="Q39" s="40"/>
      <c r="R39" s="40"/>
      <c r="S39" s="40"/>
      <c r="T39" s="40"/>
      <c r="U39" s="40">
        <f>P39</f>
        <v>180000</v>
      </c>
    </row>
    <row r="40" spans="1:21" x14ac:dyDescent="0.25">
      <c r="A40" s="36"/>
      <c r="B40" s="38" t="s">
        <v>30</v>
      </c>
      <c r="C40" s="37"/>
      <c r="D40" s="40">
        <f t="shared" ref="D40:D48" si="17">D7</f>
        <v>0</v>
      </c>
      <c r="E40" s="40">
        <f t="shared" ref="E40:E49" si="18">E7*0.9</f>
        <v>0</v>
      </c>
      <c r="F40" s="39">
        <f>SUM(F37:F39)</f>
        <v>2659500</v>
      </c>
      <c r="G40" s="39">
        <f t="shared" ref="G40:U40" si="19">SUM(G37:G39)</f>
        <v>13500</v>
      </c>
      <c r="H40" s="39">
        <f t="shared" si="19"/>
        <v>2659500</v>
      </c>
      <c r="I40" s="39">
        <f t="shared" si="19"/>
        <v>2659500</v>
      </c>
      <c r="J40" s="39">
        <f t="shared" si="19"/>
        <v>2659500</v>
      </c>
      <c r="K40" s="39">
        <f t="shared" si="19"/>
        <v>2839500</v>
      </c>
      <c r="L40" s="39">
        <f t="shared" si="19"/>
        <v>2659500</v>
      </c>
      <c r="M40" s="39">
        <f t="shared" si="19"/>
        <v>2659500</v>
      </c>
      <c r="N40" s="39">
        <f t="shared" si="19"/>
        <v>2659500</v>
      </c>
      <c r="O40" s="39">
        <f t="shared" si="19"/>
        <v>2659500</v>
      </c>
      <c r="P40" s="39">
        <f t="shared" si="19"/>
        <v>2839500</v>
      </c>
      <c r="Q40" s="39">
        <f t="shared" si="19"/>
        <v>2659500</v>
      </c>
      <c r="R40" s="39">
        <f t="shared" si="19"/>
        <v>2659500</v>
      </c>
      <c r="S40" s="39">
        <f t="shared" si="19"/>
        <v>2659500</v>
      </c>
      <c r="T40" s="39">
        <f t="shared" si="19"/>
        <v>2659500</v>
      </c>
      <c r="U40" s="39">
        <f t="shared" si="19"/>
        <v>2839500</v>
      </c>
    </row>
    <row r="41" spans="1:21" x14ac:dyDescent="0.25">
      <c r="A41" s="36"/>
      <c r="B41" s="37"/>
      <c r="C41" s="37"/>
      <c r="D41" s="40">
        <f t="shared" si="17"/>
        <v>0</v>
      </c>
      <c r="E41" s="40">
        <f t="shared" si="18"/>
        <v>0</v>
      </c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</row>
    <row r="42" spans="1:21" x14ac:dyDescent="0.25">
      <c r="A42" s="36"/>
      <c r="B42" s="43" t="s">
        <v>31</v>
      </c>
      <c r="C42" s="37"/>
      <c r="D42" s="40">
        <f t="shared" si="17"/>
        <v>0</v>
      </c>
      <c r="E42" s="40">
        <f t="shared" si="18"/>
        <v>0</v>
      </c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</row>
    <row r="43" spans="1:21" x14ac:dyDescent="0.25">
      <c r="A43" s="36"/>
      <c r="B43" s="38" t="s">
        <v>32</v>
      </c>
      <c r="C43" s="37"/>
      <c r="D43" s="40">
        <f t="shared" si="17"/>
        <v>0</v>
      </c>
      <c r="E43" s="40">
        <f t="shared" si="18"/>
        <v>0</v>
      </c>
      <c r="F43" s="44"/>
      <c r="G43" s="40"/>
      <c r="H43" s="40"/>
      <c r="I43" s="40"/>
      <c r="J43" s="40"/>
      <c r="K43" s="40"/>
      <c r="L43" s="40"/>
      <c r="M43" s="40"/>
      <c r="N43" s="40"/>
      <c r="O43" s="40"/>
      <c r="P43" s="40"/>
    </row>
    <row r="44" spans="1:21" x14ac:dyDescent="0.25">
      <c r="A44" s="36"/>
      <c r="B44" s="63" t="s">
        <v>66</v>
      </c>
      <c r="C44" s="37" t="s">
        <v>34</v>
      </c>
      <c r="D44" s="40">
        <f t="shared" si="17"/>
        <v>20</v>
      </c>
      <c r="E44" s="40">
        <f>E11*0.9</f>
        <v>36000</v>
      </c>
      <c r="F44" s="40">
        <f>D44*E44</f>
        <v>720000</v>
      </c>
      <c r="G44" s="40">
        <f>D44*E44</f>
        <v>720000</v>
      </c>
      <c r="H44" s="40">
        <v>0</v>
      </c>
      <c r="I44" s="40">
        <v>0</v>
      </c>
      <c r="J44" s="40">
        <v>0</v>
      </c>
      <c r="K44" s="40"/>
      <c r="L44" s="40"/>
      <c r="M44" s="40"/>
      <c r="N44" s="40"/>
      <c r="O44" s="40"/>
      <c r="P44" s="40">
        <f>K44</f>
        <v>0</v>
      </c>
    </row>
    <row r="45" spans="1:21" x14ac:dyDescent="0.25">
      <c r="A45" s="36"/>
      <c r="B45" s="63" t="s">
        <v>67</v>
      </c>
      <c r="C45" s="37" t="s">
        <v>36</v>
      </c>
      <c r="D45" s="40">
        <f t="shared" si="17"/>
        <v>2</v>
      </c>
      <c r="E45" s="40">
        <f t="shared" si="18"/>
        <v>720000</v>
      </c>
      <c r="F45" s="40">
        <f t="shared" ref="F45" si="20">D45*E45</f>
        <v>1440000</v>
      </c>
      <c r="G45" s="40">
        <f>D45*E45</f>
        <v>1440000</v>
      </c>
      <c r="H45" s="40">
        <v>0</v>
      </c>
      <c r="I45" s="40">
        <v>0</v>
      </c>
      <c r="J45" s="40">
        <v>0</v>
      </c>
      <c r="K45" s="40">
        <v>0</v>
      </c>
      <c r="L45" s="40"/>
      <c r="M45" s="40"/>
      <c r="N45" s="40"/>
      <c r="O45" s="40"/>
      <c r="P45" s="40"/>
    </row>
    <row r="46" spans="1:21" x14ac:dyDescent="0.25">
      <c r="A46" s="36"/>
      <c r="B46" s="38" t="s">
        <v>37</v>
      </c>
      <c r="C46" s="37"/>
      <c r="D46" s="40">
        <f t="shared" si="17"/>
        <v>0</v>
      </c>
      <c r="E46" s="40">
        <f t="shared" si="18"/>
        <v>0</v>
      </c>
      <c r="F46" s="39">
        <f t="shared" ref="F46:K46" si="21">SUM(F44:F45)</f>
        <v>2160000</v>
      </c>
      <c r="G46" s="39">
        <f t="shared" si="21"/>
        <v>2160000</v>
      </c>
      <c r="H46" s="39">
        <f t="shared" si="21"/>
        <v>0</v>
      </c>
      <c r="I46" s="39">
        <f t="shared" si="21"/>
        <v>0</v>
      </c>
      <c r="J46" s="39">
        <f t="shared" si="21"/>
        <v>0</v>
      </c>
      <c r="K46" s="39">
        <f t="shared" si="21"/>
        <v>0</v>
      </c>
      <c r="L46" s="39">
        <f t="shared" ref="L46:U46" si="22">SUM(L44:L45)</f>
        <v>0</v>
      </c>
      <c r="M46" s="39">
        <f t="shared" si="22"/>
        <v>0</v>
      </c>
      <c r="N46" s="39">
        <f t="shared" si="22"/>
        <v>0</v>
      </c>
      <c r="O46" s="39">
        <f t="shared" si="22"/>
        <v>0</v>
      </c>
      <c r="P46" s="39">
        <f t="shared" si="22"/>
        <v>0</v>
      </c>
      <c r="Q46" s="39">
        <f t="shared" si="22"/>
        <v>0</v>
      </c>
      <c r="R46" s="39">
        <f t="shared" si="22"/>
        <v>0</v>
      </c>
      <c r="S46" s="39">
        <f t="shared" si="22"/>
        <v>0</v>
      </c>
      <c r="T46" s="39">
        <f t="shared" si="22"/>
        <v>0</v>
      </c>
      <c r="U46" s="39">
        <f t="shared" si="22"/>
        <v>0</v>
      </c>
    </row>
    <row r="47" spans="1:21" x14ac:dyDescent="0.25">
      <c r="A47" s="36"/>
      <c r="B47" s="37"/>
      <c r="C47" s="37"/>
      <c r="D47" s="40">
        <f t="shared" si="17"/>
        <v>0</v>
      </c>
      <c r="E47" s="40">
        <f t="shared" si="18"/>
        <v>0</v>
      </c>
      <c r="F47" s="40">
        <f t="shared" ref="F47:F48" si="23">D47*E47</f>
        <v>0</v>
      </c>
      <c r="G47" s="40"/>
      <c r="H47" s="40"/>
      <c r="I47" s="40"/>
      <c r="J47" s="40"/>
      <c r="K47" s="40"/>
      <c r="L47" s="40"/>
      <c r="M47" s="40"/>
      <c r="N47" s="40"/>
      <c r="O47" s="40"/>
      <c r="P47" s="40"/>
    </row>
    <row r="48" spans="1:21" x14ac:dyDescent="0.25">
      <c r="A48" s="36"/>
      <c r="B48" s="38" t="s">
        <v>38</v>
      </c>
      <c r="C48" s="37"/>
      <c r="D48" s="40">
        <f t="shared" si="17"/>
        <v>0</v>
      </c>
      <c r="E48" s="40">
        <f t="shared" si="18"/>
        <v>0</v>
      </c>
      <c r="F48" s="40">
        <f t="shared" si="23"/>
        <v>0</v>
      </c>
      <c r="G48" s="40"/>
      <c r="H48" s="40"/>
      <c r="I48" s="40"/>
      <c r="J48" s="40"/>
      <c r="K48" s="40"/>
      <c r="L48" s="40"/>
      <c r="M48" s="40"/>
      <c r="N48" s="40"/>
      <c r="O48" s="40"/>
      <c r="P48" s="40"/>
    </row>
    <row r="49" spans="1:22" x14ac:dyDescent="0.25">
      <c r="A49" s="36"/>
      <c r="B49" s="64" t="s">
        <v>68</v>
      </c>
      <c r="C49" s="37"/>
      <c r="D49" s="40">
        <v>2</v>
      </c>
      <c r="E49" s="40">
        <f t="shared" si="18"/>
        <v>9000</v>
      </c>
      <c r="F49" s="40">
        <f>D49*E49</f>
        <v>18000</v>
      </c>
      <c r="G49" s="40">
        <f>F49</f>
        <v>18000</v>
      </c>
      <c r="H49" s="40">
        <f>G49</f>
        <v>18000</v>
      </c>
      <c r="I49" s="40">
        <f>H49</f>
        <v>18000</v>
      </c>
      <c r="J49" s="40">
        <f>I49</f>
        <v>18000</v>
      </c>
      <c r="K49" s="40">
        <f t="shared" ref="K49:U54" si="24">J49</f>
        <v>18000</v>
      </c>
      <c r="L49" s="40">
        <f t="shared" si="24"/>
        <v>18000</v>
      </c>
      <c r="M49" s="40">
        <f t="shared" si="24"/>
        <v>18000</v>
      </c>
      <c r="N49" s="40">
        <f t="shared" si="24"/>
        <v>18000</v>
      </c>
      <c r="O49" s="40">
        <f t="shared" si="24"/>
        <v>18000</v>
      </c>
      <c r="P49" s="40">
        <f t="shared" si="24"/>
        <v>18000</v>
      </c>
      <c r="Q49" s="40">
        <f t="shared" si="24"/>
        <v>18000</v>
      </c>
      <c r="R49" s="40">
        <f t="shared" si="24"/>
        <v>18000</v>
      </c>
      <c r="S49" s="40">
        <f t="shared" si="24"/>
        <v>18000</v>
      </c>
      <c r="T49" s="40">
        <f t="shared" si="24"/>
        <v>18000</v>
      </c>
      <c r="U49" s="40">
        <f t="shared" si="24"/>
        <v>18000</v>
      </c>
    </row>
    <row r="50" spans="1:22" x14ac:dyDescent="0.25">
      <c r="A50" s="36"/>
      <c r="B50" s="45" t="s">
        <v>41</v>
      </c>
      <c r="C50" s="37" t="s">
        <v>40</v>
      </c>
      <c r="D50" s="40">
        <v>150</v>
      </c>
      <c r="E50" s="40">
        <f>E17</f>
        <v>1000</v>
      </c>
      <c r="F50" s="40">
        <f t="shared" ref="F50:F54" si="25">D50*E50</f>
        <v>150000</v>
      </c>
      <c r="G50" s="40">
        <f>F50</f>
        <v>150000</v>
      </c>
      <c r="H50" s="40">
        <f>D50*E50*1</f>
        <v>150000</v>
      </c>
      <c r="I50" s="40">
        <f>D50*E50*1</f>
        <v>150000</v>
      </c>
      <c r="J50" s="40">
        <f>D50*E50</f>
        <v>150000</v>
      </c>
      <c r="K50" s="40">
        <f t="shared" si="24"/>
        <v>150000</v>
      </c>
      <c r="L50" s="40">
        <f t="shared" si="24"/>
        <v>150000</v>
      </c>
      <c r="M50" s="40">
        <f t="shared" si="24"/>
        <v>150000</v>
      </c>
      <c r="N50" s="40">
        <f t="shared" si="24"/>
        <v>150000</v>
      </c>
      <c r="O50" s="40">
        <f t="shared" si="24"/>
        <v>150000</v>
      </c>
      <c r="P50" s="40">
        <f t="shared" si="24"/>
        <v>150000</v>
      </c>
      <c r="Q50" s="40">
        <f t="shared" si="24"/>
        <v>150000</v>
      </c>
      <c r="R50" s="40">
        <f t="shared" si="24"/>
        <v>150000</v>
      </c>
      <c r="S50" s="40">
        <f t="shared" si="24"/>
        <v>150000</v>
      </c>
      <c r="T50" s="40">
        <f t="shared" si="24"/>
        <v>150000</v>
      </c>
      <c r="U50" s="40">
        <f t="shared" si="24"/>
        <v>150000</v>
      </c>
      <c r="V50" s="46"/>
    </row>
    <row r="51" spans="1:22" x14ac:dyDescent="0.25">
      <c r="A51" s="36"/>
      <c r="B51" s="45" t="s">
        <v>42</v>
      </c>
      <c r="C51" s="37" t="s">
        <v>40</v>
      </c>
      <c r="D51" s="40">
        <v>2</v>
      </c>
      <c r="E51" s="40">
        <f>E18*0.9</f>
        <v>9000</v>
      </c>
      <c r="F51" s="40">
        <f t="shared" si="25"/>
        <v>18000</v>
      </c>
      <c r="G51" s="40">
        <f>F51*0.5</f>
        <v>9000</v>
      </c>
      <c r="H51" s="40">
        <f>F51</f>
        <v>18000</v>
      </c>
      <c r="I51" s="40">
        <f t="shared" ref="I51:J51" si="26">H51</f>
        <v>18000</v>
      </c>
      <c r="J51" s="40">
        <f t="shared" si="26"/>
        <v>18000</v>
      </c>
      <c r="K51" s="40">
        <f t="shared" si="24"/>
        <v>18000</v>
      </c>
      <c r="L51" s="40">
        <f t="shared" si="24"/>
        <v>18000</v>
      </c>
      <c r="M51" s="40">
        <f t="shared" si="24"/>
        <v>18000</v>
      </c>
      <c r="N51" s="40">
        <f t="shared" si="24"/>
        <v>18000</v>
      </c>
      <c r="O51" s="40">
        <f t="shared" si="24"/>
        <v>18000</v>
      </c>
      <c r="P51" s="40">
        <f t="shared" si="24"/>
        <v>18000</v>
      </c>
      <c r="Q51" s="40">
        <f t="shared" si="24"/>
        <v>18000</v>
      </c>
      <c r="R51" s="40">
        <f t="shared" si="24"/>
        <v>18000</v>
      </c>
      <c r="S51" s="40">
        <f t="shared" si="24"/>
        <v>18000</v>
      </c>
      <c r="T51" s="40">
        <f t="shared" si="24"/>
        <v>18000</v>
      </c>
      <c r="U51" s="40">
        <f t="shared" si="24"/>
        <v>18000</v>
      </c>
      <c r="V51" s="46"/>
    </row>
    <row r="52" spans="1:22" x14ac:dyDescent="0.25">
      <c r="A52" s="36"/>
      <c r="B52" s="45" t="s">
        <v>240</v>
      </c>
      <c r="C52" s="37" t="s">
        <v>40</v>
      </c>
      <c r="D52" s="40">
        <v>2</v>
      </c>
      <c r="E52" s="40">
        <f>E19*0.9</f>
        <v>270000</v>
      </c>
      <c r="F52" s="40">
        <f t="shared" si="25"/>
        <v>540000</v>
      </c>
      <c r="G52" s="40">
        <f>F52</f>
        <v>540000</v>
      </c>
      <c r="H52" s="40">
        <f>F52</f>
        <v>540000</v>
      </c>
      <c r="I52" s="40">
        <f>F52</f>
        <v>540000</v>
      </c>
      <c r="J52" s="40">
        <f>F52</f>
        <v>540000</v>
      </c>
      <c r="K52" s="40">
        <f>J52</f>
        <v>540000</v>
      </c>
      <c r="L52" s="40">
        <f t="shared" si="24"/>
        <v>540000</v>
      </c>
      <c r="M52" s="40">
        <f t="shared" si="24"/>
        <v>540000</v>
      </c>
      <c r="N52" s="40">
        <f t="shared" si="24"/>
        <v>540000</v>
      </c>
      <c r="O52" s="40">
        <f t="shared" si="24"/>
        <v>540000</v>
      </c>
      <c r="P52" s="40">
        <f t="shared" si="24"/>
        <v>540000</v>
      </c>
      <c r="Q52" s="40">
        <f t="shared" si="24"/>
        <v>540000</v>
      </c>
      <c r="R52" s="40">
        <f t="shared" si="24"/>
        <v>540000</v>
      </c>
      <c r="S52" s="40">
        <f t="shared" si="24"/>
        <v>540000</v>
      </c>
      <c r="T52" s="40">
        <f t="shared" si="24"/>
        <v>540000</v>
      </c>
      <c r="U52" s="40">
        <f t="shared" si="24"/>
        <v>540000</v>
      </c>
    </row>
    <row r="53" spans="1:22" x14ac:dyDescent="0.25">
      <c r="A53" s="36"/>
      <c r="B53" s="45" t="s">
        <v>69</v>
      </c>
      <c r="C53" s="37" t="s">
        <v>40</v>
      </c>
      <c r="D53" s="40">
        <v>2</v>
      </c>
      <c r="E53" s="40">
        <f>E20*0.9</f>
        <v>72000</v>
      </c>
      <c r="F53" s="40">
        <f t="shared" si="25"/>
        <v>144000</v>
      </c>
      <c r="G53" s="40">
        <f>F53</f>
        <v>144000</v>
      </c>
      <c r="H53" s="40">
        <f>D53*E53*1</f>
        <v>144000</v>
      </c>
      <c r="I53" s="40">
        <f>D53*E53*1</f>
        <v>144000</v>
      </c>
      <c r="J53" s="40">
        <f>D53*E53</f>
        <v>144000</v>
      </c>
      <c r="K53" s="40">
        <f>J53</f>
        <v>144000</v>
      </c>
      <c r="L53" s="40">
        <f t="shared" si="24"/>
        <v>144000</v>
      </c>
      <c r="M53" s="40">
        <f t="shared" si="24"/>
        <v>144000</v>
      </c>
      <c r="N53" s="40">
        <f t="shared" si="24"/>
        <v>144000</v>
      </c>
      <c r="O53" s="40">
        <f t="shared" si="24"/>
        <v>144000</v>
      </c>
      <c r="P53" s="40">
        <f t="shared" si="24"/>
        <v>144000</v>
      </c>
      <c r="Q53" s="40">
        <f t="shared" si="24"/>
        <v>144000</v>
      </c>
      <c r="R53" s="40">
        <f t="shared" si="24"/>
        <v>144000</v>
      </c>
      <c r="S53" s="40">
        <f t="shared" si="24"/>
        <v>144000</v>
      </c>
      <c r="T53" s="40">
        <f t="shared" si="24"/>
        <v>144000</v>
      </c>
      <c r="U53" s="40">
        <f t="shared" si="24"/>
        <v>144000</v>
      </c>
    </row>
    <row r="54" spans="1:22" x14ac:dyDescent="0.25">
      <c r="A54" s="36"/>
      <c r="B54" s="45" t="s">
        <v>234</v>
      </c>
      <c r="C54" s="37" t="s">
        <v>40</v>
      </c>
      <c r="D54" s="40">
        <v>1</v>
      </c>
      <c r="E54" s="40">
        <f>E21*0.9</f>
        <v>13500</v>
      </c>
      <c r="F54" s="40">
        <f t="shared" si="25"/>
        <v>13500</v>
      </c>
      <c r="G54" s="40">
        <f>F54</f>
        <v>13500</v>
      </c>
      <c r="H54" s="40">
        <f>D54*E54*1</f>
        <v>13500</v>
      </c>
      <c r="I54" s="40">
        <f>D54*E54*1</f>
        <v>13500</v>
      </c>
      <c r="J54" s="40">
        <f>D54*E54</f>
        <v>13500</v>
      </c>
      <c r="K54" s="40">
        <f>J54</f>
        <v>13500</v>
      </c>
      <c r="L54" s="40">
        <f t="shared" si="24"/>
        <v>13500</v>
      </c>
      <c r="M54" s="40">
        <f t="shared" si="24"/>
        <v>13500</v>
      </c>
      <c r="N54" s="40">
        <f t="shared" si="24"/>
        <v>13500</v>
      </c>
      <c r="O54" s="40">
        <f t="shared" si="24"/>
        <v>13500</v>
      </c>
      <c r="P54" s="40">
        <f t="shared" si="24"/>
        <v>13500</v>
      </c>
      <c r="Q54" s="40">
        <f t="shared" si="24"/>
        <v>13500</v>
      </c>
      <c r="R54" s="40">
        <f t="shared" si="24"/>
        <v>13500</v>
      </c>
      <c r="S54" s="40">
        <f t="shared" si="24"/>
        <v>13500</v>
      </c>
      <c r="T54" s="40">
        <f t="shared" si="24"/>
        <v>13500</v>
      </c>
      <c r="U54" s="40">
        <f t="shared" si="24"/>
        <v>13500</v>
      </c>
    </row>
    <row r="55" spans="1:22" x14ac:dyDescent="0.25">
      <c r="A55" s="36"/>
      <c r="B55" s="38" t="s">
        <v>44</v>
      </c>
      <c r="C55" s="37"/>
      <c r="D55" s="40">
        <f>D22</f>
        <v>0</v>
      </c>
      <c r="E55" s="40"/>
      <c r="F55" s="39">
        <f>SUM(F49:F54)</f>
        <v>883500</v>
      </c>
      <c r="G55" s="39">
        <f t="shared" ref="G55:U55" si="27">SUM(G49:G54)</f>
        <v>874500</v>
      </c>
      <c r="H55" s="39">
        <f t="shared" si="27"/>
        <v>883500</v>
      </c>
      <c r="I55" s="39">
        <f t="shared" si="27"/>
        <v>883500</v>
      </c>
      <c r="J55" s="39">
        <f t="shared" si="27"/>
        <v>883500</v>
      </c>
      <c r="K55" s="39">
        <f t="shared" si="27"/>
        <v>883500</v>
      </c>
      <c r="L55" s="39">
        <f t="shared" si="27"/>
        <v>883500</v>
      </c>
      <c r="M55" s="39">
        <f t="shared" si="27"/>
        <v>883500</v>
      </c>
      <c r="N55" s="39">
        <f t="shared" si="27"/>
        <v>883500</v>
      </c>
      <c r="O55" s="39">
        <f t="shared" si="27"/>
        <v>883500</v>
      </c>
      <c r="P55" s="39">
        <f t="shared" si="27"/>
        <v>883500</v>
      </c>
      <c r="Q55" s="39">
        <f t="shared" si="27"/>
        <v>883500</v>
      </c>
      <c r="R55" s="39">
        <f t="shared" si="27"/>
        <v>883500</v>
      </c>
      <c r="S55" s="39">
        <f t="shared" si="27"/>
        <v>883500</v>
      </c>
      <c r="T55" s="39">
        <f t="shared" si="27"/>
        <v>883500</v>
      </c>
      <c r="U55" s="39">
        <f t="shared" si="27"/>
        <v>883500</v>
      </c>
    </row>
    <row r="56" spans="1:22" x14ac:dyDescent="0.25">
      <c r="A56" s="36"/>
      <c r="B56" s="47"/>
      <c r="C56" s="37"/>
      <c r="D56" s="40">
        <f>D23</f>
        <v>0</v>
      </c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</row>
    <row r="57" spans="1:22" x14ac:dyDescent="0.25">
      <c r="A57" s="36"/>
      <c r="B57" s="38" t="s">
        <v>45</v>
      </c>
      <c r="C57" s="37"/>
      <c r="D57" s="40">
        <f>D24</f>
        <v>0</v>
      </c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</row>
    <row r="58" spans="1:22" x14ac:dyDescent="0.25">
      <c r="A58" s="36"/>
      <c r="B58" s="37" t="s">
        <v>72</v>
      </c>
      <c r="C58" s="37" t="s">
        <v>47</v>
      </c>
      <c r="D58" s="40">
        <f>D25</f>
        <v>1</v>
      </c>
      <c r="E58" s="40"/>
      <c r="F58" s="40">
        <f>D58*E58</f>
        <v>0</v>
      </c>
      <c r="G58" s="40">
        <v>0</v>
      </c>
      <c r="H58" s="40">
        <f>D58*E58</f>
        <v>0</v>
      </c>
      <c r="I58" s="40">
        <f t="shared" ref="I58:U58" si="28">H58</f>
        <v>0</v>
      </c>
      <c r="J58" s="40">
        <f t="shared" si="28"/>
        <v>0</v>
      </c>
      <c r="K58" s="40">
        <f t="shared" si="28"/>
        <v>0</v>
      </c>
      <c r="L58" s="40">
        <f t="shared" si="28"/>
        <v>0</v>
      </c>
      <c r="M58" s="40">
        <f t="shared" si="28"/>
        <v>0</v>
      </c>
      <c r="N58" s="40">
        <f t="shared" si="28"/>
        <v>0</v>
      </c>
      <c r="O58" s="40">
        <f t="shared" si="28"/>
        <v>0</v>
      </c>
      <c r="P58" s="40">
        <f t="shared" si="28"/>
        <v>0</v>
      </c>
      <c r="Q58" s="40">
        <f t="shared" si="28"/>
        <v>0</v>
      </c>
      <c r="R58" s="40">
        <f t="shared" si="28"/>
        <v>0</v>
      </c>
      <c r="S58" s="40">
        <f t="shared" si="28"/>
        <v>0</v>
      </c>
      <c r="T58" s="40">
        <f t="shared" si="28"/>
        <v>0</v>
      </c>
      <c r="U58" s="40">
        <f t="shared" si="28"/>
        <v>0</v>
      </c>
      <c r="V58" s="48">
        <f>SUM(H58:U58)</f>
        <v>0</v>
      </c>
    </row>
    <row r="59" spans="1:22" x14ac:dyDescent="0.25">
      <c r="A59" s="36"/>
      <c r="B59" s="38" t="s">
        <v>48</v>
      </c>
      <c r="C59" s="37"/>
      <c r="D59" s="40"/>
      <c r="E59" s="40"/>
      <c r="F59" s="39">
        <f t="shared" ref="F59:U59" si="29">SUM(F58:F58)</f>
        <v>0</v>
      </c>
      <c r="G59" s="39">
        <f t="shared" si="29"/>
        <v>0</v>
      </c>
      <c r="H59" s="39">
        <f t="shared" si="29"/>
        <v>0</v>
      </c>
      <c r="I59" s="39">
        <f t="shared" si="29"/>
        <v>0</v>
      </c>
      <c r="J59" s="39">
        <f t="shared" si="29"/>
        <v>0</v>
      </c>
      <c r="K59" s="39">
        <f t="shared" si="29"/>
        <v>0</v>
      </c>
      <c r="L59" s="39">
        <f t="shared" si="29"/>
        <v>0</v>
      </c>
      <c r="M59" s="39">
        <f t="shared" si="29"/>
        <v>0</v>
      </c>
      <c r="N59" s="39">
        <f t="shared" si="29"/>
        <v>0</v>
      </c>
      <c r="O59" s="39">
        <f t="shared" si="29"/>
        <v>0</v>
      </c>
      <c r="P59" s="39">
        <f t="shared" si="29"/>
        <v>0</v>
      </c>
      <c r="Q59" s="39">
        <f t="shared" si="29"/>
        <v>0</v>
      </c>
      <c r="R59" s="39">
        <f t="shared" si="29"/>
        <v>0</v>
      </c>
      <c r="S59" s="39">
        <f t="shared" si="29"/>
        <v>0</v>
      </c>
      <c r="T59" s="39">
        <f t="shared" si="29"/>
        <v>0</v>
      </c>
      <c r="U59" s="39">
        <f t="shared" si="29"/>
        <v>0</v>
      </c>
    </row>
    <row r="60" spans="1:22" x14ac:dyDescent="0.25">
      <c r="A60" s="36"/>
      <c r="B60" s="38" t="s">
        <v>49</v>
      </c>
      <c r="C60" s="37"/>
      <c r="D60" s="40"/>
      <c r="E60" s="40"/>
      <c r="F60" s="39">
        <f t="shared" ref="F60:U60" si="30">F46+F55+F59</f>
        <v>3043500</v>
      </c>
      <c r="G60" s="39">
        <f t="shared" si="30"/>
        <v>3034500</v>
      </c>
      <c r="H60" s="39">
        <f t="shared" si="30"/>
        <v>883500</v>
      </c>
      <c r="I60" s="39">
        <f t="shared" si="30"/>
        <v>883500</v>
      </c>
      <c r="J60" s="39">
        <f t="shared" si="30"/>
        <v>883500</v>
      </c>
      <c r="K60" s="39">
        <f t="shared" si="30"/>
        <v>883500</v>
      </c>
      <c r="L60" s="39">
        <f t="shared" si="30"/>
        <v>883500</v>
      </c>
      <c r="M60" s="39">
        <f t="shared" si="30"/>
        <v>883500</v>
      </c>
      <c r="N60" s="39">
        <f t="shared" si="30"/>
        <v>883500</v>
      </c>
      <c r="O60" s="39">
        <f t="shared" si="30"/>
        <v>883500</v>
      </c>
      <c r="P60" s="39">
        <f t="shared" si="30"/>
        <v>883500</v>
      </c>
      <c r="Q60" s="39">
        <f t="shared" si="30"/>
        <v>883500</v>
      </c>
      <c r="R60" s="39">
        <f t="shared" si="30"/>
        <v>883500</v>
      </c>
      <c r="S60" s="39">
        <f t="shared" si="30"/>
        <v>883500</v>
      </c>
      <c r="T60" s="39">
        <f t="shared" si="30"/>
        <v>883500</v>
      </c>
      <c r="U60" s="39">
        <f t="shared" si="30"/>
        <v>883500</v>
      </c>
    </row>
    <row r="61" spans="1:22" x14ac:dyDescent="0.25">
      <c r="A61" s="36"/>
      <c r="B61" s="38"/>
      <c r="C61" s="37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</row>
    <row r="62" spans="1:22" x14ac:dyDescent="0.25">
      <c r="A62" s="36"/>
      <c r="B62" s="38" t="s">
        <v>50</v>
      </c>
      <c r="C62" s="37" t="s">
        <v>47</v>
      </c>
      <c r="D62" s="40"/>
      <c r="E62" s="40"/>
      <c r="F62" s="40"/>
      <c r="G62" s="39">
        <f t="shared" ref="G62:U62" si="31">G40-G46-G55</f>
        <v>-3021000</v>
      </c>
      <c r="H62" s="39">
        <f t="shared" si="31"/>
        <v>1776000</v>
      </c>
      <c r="I62" s="39">
        <f t="shared" si="31"/>
        <v>1776000</v>
      </c>
      <c r="J62" s="39">
        <f t="shared" si="31"/>
        <v>1776000</v>
      </c>
      <c r="K62" s="39">
        <f t="shared" si="31"/>
        <v>1956000</v>
      </c>
      <c r="L62" s="39">
        <f t="shared" si="31"/>
        <v>1776000</v>
      </c>
      <c r="M62" s="39">
        <f t="shared" si="31"/>
        <v>1776000</v>
      </c>
      <c r="N62" s="39">
        <f t="shared" si="31"/>
        <v>1776000</v>
      </c>
      <c r="O62" s="39">
        <f t="shared" si="31"/>
        <v>1776000</v>
      </c>
      <c r="P62" s="39">
        <f t="shared" si="31"/>
        <v>1956000</v>
      </c>
      <c r="Q62" s="39">
        <f t="shared" si="31"/>
        <v>1776000</v>
      </c>
      <c r="R62" s="39">
        <f t="shared" si="31"/>
        <v>1776000</v>
      </c>
      <c r="S62" s="39">
        <f t="shared" si="31"/>
        <v>1776000</v>
      </c>
      <c r="T62" s="39">
        <f t="shared" si="31"/>
        <v>1776000</v>
      </c>
      <c r="U62" s="39">
        <f t="shared" si="31"/>
        <v>1956000</v>
      </c>
    </row>
    <row r="63" spans="1:22" x14ac:dyDescent="0.25">
      <c r="A63" s="36"/>
      <c r="B63" s="38" t="s">
        <v>51</v>
      </c>
      <c r="C63" s="37" t="s">
        <v>47</v>
      </c>
      <c r="D63" s="40"/>
      <c r="E63" s="40"/>
      <c r="F63" s="40"/>
      <c r="G63" s="39">
        <f>G62-G59</f>
        <v>-3021000</v>
      </c>
      <c r="H63" s="39">
        <f>-(H62-H59)</f>
        <v>-1776000</v>
      </c>
      <c r="I63" s="39">
        <f>-(I62-I59)</f>
        <v>-1776000</v>
      </c>
      <c r="J63" s="39">
        <f>J62-J59</f>
        <v>1776000</v>
      </c>
      <c r="K63" s="39">
        <f>K62-K59</f>
        <v>1956000</v>
      </c>
      <c r="L63" s="39">
        <f t="shared" ref="L63:U63" si="32">L62-L59</f>
        <v>1776000</v>
      </c>
      <c r="M63" s="39">
        <f t="shared" si="32"/>
        <v>1776000</v>
      </c>
      <c r="N63" s="39">
        <f t="shared" si="32"/>
        <v>1776000</v>
      </c>
      <c r="O63" s="39">
        <f t="shared" si="32"/>
        <v>1776000</v>
      </c>
      <c r="P63" s="39">
        <f t="shared" si="32"/>
        <v>1956000</v>
      </c>
      <c r="Q63" s="39">
        <f t="shared" si="32"/>
        <v>1776000</v>
      </c>
      <c r="R63" s="39">
        <f t="shared" si="32"/>
        <v>1776000</v>
      </c>
      <c r="S63" s="39">
        <f t="shared" si="32"/>
        <v>1776000</v>
      </c>
      <c r="T63" s="39">
        <f t="shared" si="32"/>
        <v>1776000</v>
      </c>
      <c r="U63" s="39">
        <f t="shared" si="32"/>
        <v>1956000</v>
      </c>
    </row>
    <row r="64" spans="1:22" x14ac:dyDescent="0.25">
      <c r="A64" s="1"/>
      <c r="B64" s="140" t="s">
        <v>58</v>
      </c>
      <c r="C64" s="141"/>
      <c r="D64" s="141"/>
      <c r="E64" s="141"/>
      <c r="F64" s="142"/>
      <c r="G64" s="53">
        <f>IRR(G63:U63)</f>
        <v>0.19550722630195505</v>
      </c>
      <c r="H64" s="54"/>
      <c r="I64" s="54"/>
      <c r="J64" s="54"/>
      <c r="K64" s="54"/>
      <c r="L64" s="54"/>
      <c r="M64" s="54"/>
      <c r="N64" s="54"/>
      <c r="O64" s="54"/>
      <c r="P64" s="54"/>
    </row>
    <row r="65" spans="1:16" x14ac:dyDescent="0.25">
      <c r="A65" s="1"/>
      <c r="B65" s="140" t="s">
        <v>59</v>
      </c>
      <c r="C65" s="141"/>
      <c r="D65" s="141"/>
      <c r="E65" s="141"/>
      <c r="F65" s="142"/>
      <c r="G65" s="55">
        <f>NPV(0.1,G63:U63)</f>
        <v>3767534.9485439197</v>
      </c>
      <c r="H65" s="54"/>
      <c r="I65" s="54"/>
      <c r="J65" s="54"/>
      <c r="K65" s="54"/>
      <c r="L65" s="54"/>
      <c r="M65" s="54"/>
      <c r="N65" s="54"/>
      <c r="O65" s="54"/>
      <c r="P65" s="54"/>
    </row>
  </sheetData>
  <mergeCells count="8">
    <mergeCell ref="B64:F64"/>
    <mergeCell ref="B65:F65"/>
    <mergeCell ref="B1:P1"/>
    <mergeCell ref="G2:P2"/>
    <mergeCell ref="B31:F31"/>
    <mergeCell ref="B32:F32"/>
    <mergeCell ref="B34:P34"/>
    <mergeCell ref="G35:P3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33A23-8A30-47B7-BBD6-25AC4C35EE1F}">
  <dimension ref="A1:V86"/>
  <sheetViews>
    <sheetView workbookViewId="0">
      <selection activeCell="H36" sqref="H36"/>
    </sheetView>
  </sheetViews>
  <sheetFormatPr defaultColWidth="15.7109375" defaultRowHeight="15" x14ac:dyDescent="0.25"/>
  <cols>
    <col min="2" max="2" width="26.85546875" customWidth="1"/>
  </cols>
  <sheetData>
    <row r="1" spans="1:21" x14ac:dyDescent="0.25">
      <c r="A1" s="36"/>
      <c r="B1" s="143" t="s">
        <v>18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</row>
    <row r="2" spans="1:21" x14ac:dyDescent="0.25">
      <c r="A2" s="36"/>
      <c r="B2" s="37"/>
      <c r="C2" s="38" t="s">
        <v>19</v>
      </c>
      <c r="D2" s="39" t="s">
        <v>20</v>
      </c>
      <c r="E2" s="39" t="s">
        <v>21</v>
      </c>
      <c r="F2" s="39" t="s">
        <v>22</v>
      </c>
      <c r="G2" s="144" t="s">
        <v>23</v>
      </c>
      <c r="H2" s="145"/>
      <c r="I2" s="145"/>
      <c r="J2" s="145"/>
      <c r="K2" s="145"/>
      <c r="L2" s="145"/>
      <c r="M2" s="145"/>
      <c r="N2" s="145"/>
      <c r="O2" s="145"/>
      <c r="P2" s="145"/>
    </row>
    <row r="3" spans="1:21" x14ac:dyDescent="0.25">
      <c r="A3" s="36"/>
      <c r="B3" s="38" t="s">
        <v>24</v>
      </c>
      <c r="C3" s="37"/>
      <c r="D3" s="150" t="s">
        <v>25</v>
      </c>
      <c r="E3" s="151"/>
      <c r="F3" s="152"/>
      <c r="G3" s="40">
        <v>1</v>
      </c>
      <c r="H3" s="40">
        <f t="shared" ref="H3:P3" si="0">G3+1</f>
        <v>2</v>
      </c>
      <c r="I3" s="40">
        <f t="shared" si="0"/>
        <v>3</v>
      </c>
      <c r="J3" s="40">
        <f t="shared" si="0"/>
        <v>4</v>
      </c>
      <c r="K3" s="40">
        <f t="shared" si="0"/>
        <v>5</v>
      </c>
      <c r="L3" s="40">
        <f t="shared" si="0"/>
        <v>6</v>
      </c>
      <c r="M3" s="40">
        <f t="shared" si="0"/>
        <v>7</v>
      </c>
      <c r="N3" s="40">
        <f t="shared" si="0"/>
        <v>8</v>
      </c>
      <c r="O3" s="40">
        <f t="shared" si="0"/>
        <v>9</v>
      </c>
      <c r="P3" s="40">
        <f t="shared" si="0"/>
        <v>10</v>
      </c>
      <c r="Q3">
        <v>11</v>
      </c>
      <c r="R3">
        <v>12</v>
      </c>
      <c r="S3">
        <v>13</v>
      </c>
      <c r="T3">
        <v>14</v>
      </c>
      <c r="U3">
        <v>15</v>
      </c>
    </row>
    <row r="4" spans="1:21" ht="35.25" customHeight="1" x14ac:dyDescent="0.25">
      <c r="A4" s="36"/>
      <c r="B4" s="41" t="s">
        <v>26</v>
      </c>
      <c r="C4" s="37" t="s">
        <v>27</v>
      </c>
      <c r="D4" s="40">
        <v>1000</v>
      </c>
      <c r="E4" s="40">
        <v>3000</v>
      </c>
      <c r="F4" s="40"/>
      <c r="G4" s="40"/>
      <c r="H4" s="40">
        <f>I4*0.3</f>
        <v>450000</v>
      </c>
      <c r="I4" s="40">
        <f>J4*0.5</f>
        <v>1500000</v>
      </c>
      <c r="J4" s="40">
        <f>D4*E4</f>
        <v>3000000</v>
      </c>
      <c r="K4" s="40">
        <f>J4*1.2</f>
        <v>3600000</v>
      </c>
      <c r="L4" s="40">
        <f>K4*1.2</f>
        <v>4320000</v>
      </c>
      <c r="M4" s="40">
        <f t="shared" ref="M4:U4" si="1">L4*1.2</f>
        <v>5184000</v>
      </c>
      <c r="N4" s="40">
        <f t="shared" si="1"/>
        <v>6220800</v>
      </c>
      <c r="O4" s="40">
        <f t="shared" si="1"/>
        <v>7464960</v>
      </c>
      <c r="P4" s="40">
        <f t="shared" si="1"/>
        <v>8957952</v>
      </c>
      <c r="Q4" s="40">
        <f t="shared" si="1"/>
        <v>10749542.4</v>
      </c>
      <c r="R4" s="40">
        <f t="shared" si="1"/>
        <v>12899450.880000001</v>
      </c>
      <c r="S4" s="40">
        <f t="shared" si="1"/>
        <v>15479341.056</v>
      </c>
      <c r="T4" s="40">
        <f t="shared" si="1"/>
        <v>18575209.267200001</v>
      </c>
      <c r="U4" s="40">
        <f t="shared" si="1"/>
        <v>22290251.120639998</v>
      </c>
    </row>
    <row r="5" spans="1:21" ht="22.5" customHeight="1" x14ac:dyDescent="0.25">
      <c r="A5" s="36"/>
      <c r="B5" s="41" t="s">
        <v>28</v>
      </c>
      <c r="C5" s="37" t="s">
        <v>29</v>
      </c>
      <c r="D5" s="42">
        <v>1800</v>
      </c>
      <c r="E5" s="40">
        <v>35</v>
      </c>
      <c r="F5" s="40">
        <f>D5*E5</f>
        <v>63000</v>
      </c>
      <c r="G5" s="40">
        <f>F5</f>
        <v>63000</v>
      </c>
      <c r="H5" s="40">
        <f>F5*0.3</f>
        <v>18900</v>
      </c>
      <c r="I5" s="40">
        <f>H5*0.5</f>
        <v>9450</v>
      </c>
      <c r="J5" s="40">
        <f>I5</f>
        <v>9450</v>
      </c>
      <c r="K5" s="40">
        <f t="shared" ref="K5:U5" si="2">J5</f>
        <v>9450</v>
      </c>
      <c r="L5" s="40">
        <f t="shared" si="2"/>
        <v>9450</v>
      </c>
      <c r="M5" s="40">
        <f t="shared" si="2"/>
        <v>9450</v>
      </c>
      <c r="N5" s="40">
        <f t="shared" si="2"/>
        <v>9450</v>
      </c>
      <c r="O5" s="40">
        <f t="shared" si="2"/>
        <v>9450</v>
      </c>
      <c r="P5" s="40">
        <f t="shared" si="2"/>
        <v>9450</v>
      </c>
      <c r="Q5" s="40">
        <f t="shared" si="2"/>
        <v>9450</v>
      </c>
      <c r="R5" s="40">
        <f t="shared" si="2"/>
        <v>9450</v>
      </c>
      <c r="S5" s="40">
        <f t="shared" si="2"/>
        <v>9450</v>
      </c>
      <c r="T5" s="40">
        <f t="shared" si="2"/>
        <v>9450</v>
      </c>
      <c r="U5" s="40">
        <f t="shared" si="2"/>
        <v>9450</v>
      </c>
    </row>
    <row r="6" spans="1:21" x14ac:dyDescent="0.25">
      <c r="A6" s="36"/>
      <c r="B6" s="38" t="s">
        <v>30</v>
      </c>
      <c r="C6" s="37"/>
      <c r="D6" s="40"/>
      <c r="E6" s="40"/>
      <c r="F6" s="39">
        <f t="shared" ref="F6:U6" si="3">SUM(F4:F5)</f>
        <v>63000</v>
      </c>
      <c r="G6" s="39">
        <f t="shared" si="3"/>
        <v>63000</v>
      </c>
      <c r="H6" s="39">
        <f t="shared" si="3"/>
        <v>468900</v>
      </c>
      <c r="I6" s="39">
        <f t="shared" si="3"/>
        <v>1509450</v>
      </c>
      <c r="J6" s="39">
        <f t="shared" si="3"/>
        <v>3009450</v>
      </c>
      <c r="K6" s="39">
        <f t="shared" si="3"/>
        <v>3609450</v>
      </c>
      <c r="L6" s="39">
        <f t="shared" si="3"/>
        <v>4329450</v>
      </c>
      <c r="M6" s="39">
        <f t="shared" si="3"/>
        <v>5193450</v>
      </c>
      <c r="N6" s="39">
        <f t="shared" si="3"/>
        <v>6230250</v>
      </c>
      <c r="O6" s="39">
        <f t="shared" si="3"/>
        <v>7474410</v>
      </c>
      <c r="P6" s="39">
        <f t="shared" si="3"/>
        <v>8967402</v>
      </c>
      <c r="Q6" s="39">
        <f t="shared" si="3"/>
        <v>10758992.4</v>
      </c>
      <c r="R6" s="39">
        <f t="shared" si="3"/>
        <v>12908900.880000001</v>
      </c>
      <c r="S6" s="39">
        <f t="shared" si="3"/>
        <v>15488791.056</v>
      </c>
      <c r="T6" s="39">
        <f t="shared" si="3"/>
        <v>18584659.267200001</v>
      </c>
      <c r="U6" s="39">
        <f t="shared" si="3"/>
        <v>22299701.120639998</v>
      </c>
    </row>
    <row r="7" spans="1:21" x14ac:dyDescent="0.25">
      <c r="A7" s="36"/>
      <c r="B7" s="37"/>
      <c r="C7" s="37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</row>
    <row r="8" spans="1:21" x14ac:dyDescent="0.25">
      <c r="A8" s="36"/>
      <c r="B8" s="43" t="s">
        <v>31</v>
      </c>
      <c r="C8" s="37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</row>
    <row r="9" spans="1:21" x14ac:dyDescent="0.25">
      <c r="A9" s="36"/>
      <c r="B9" s="38" t="s">
        <v>32</v>
      </c>
      <c r="C9" s="37"/>
      <c r="D9" s="40"/>
      <c r="E9" s="40"/>
      <c r="F9" s="44"/>
      <c r="G9" s="40"/>
      <c r="H9" s="40"/>
      <c r="I9" s="40"/>
      <c r="J9" s="40"/>
      <c r="K9" s="40"/>
      <c r="L9" s="40"/>
      <c r="M9" s="40"/>
      <c r="N9" s="40"/>
      <c r="O9" s="40"/>
      <c r="P9" s="40"/>
    </row>
    <row r="10" spans="1:21" x14ac:dyDescent="0.25">
      <c r="A10" s="36"/>
      <c r="B10" s="45" t="s">
        <v>33</v>
      </c>
      <c r="C10" s="37" t="s">
        <v>34</v>
      </c>
      <c r="D10" s="40">
        <v>500</v>
      </c>
      <c r="E10" s="40">
        <v>300</v>
      </c>
      <c r="F10" s="40">
        <f>D10*E10</f>
        <v>150000</v>
      </c>
      <c r="G10" s="40">
        <f>F10</f>
        <v>150000</v>
      </c>
      <c r="H10" s="40">
        <f>G10</f>
        <v>150000</v>
      </c>
      <c r="I10" s="40">
        <v>0</v>
      </c>
      <c r="J10" s="40">
        <v>0</v>
      </c>
      <c r="K10" s="40">
        <v>0</v>
      </c>
      <c r="L10" s="40"/>
      <c r="M10" s="40"/>
      <c r="N10" s="40"/>
      <c r="O10" s="40"/>
      <c r="P10" s="40"/>
    </row>
    <row r="11" spans="1:21" x14ac:dyDescent="0.25">
      <c r="A11" s="36"/>
      <c r="B11" s="45" t="s">
        <v>35</v>
      </c>
      <c r="C11" s="37" t="s">
        <v>36</v>
      </c>
      <c r="D11" s="40">
        <v>1</v>
      </c>
      <c r="E11" s="40">
        <v>60000</v>
      </c>
      <c r="F11" s="40">
        <f t="shared" ref="F11:F14" si="4">D11*E11</f>
        <v>60000</v>
      </c>
      <c r="G11" s="40">
        <f t="shared" ref="G11" si="5">F11</f>
        <v>60000</v>
      </c>
      <c r="H11" s="40">
        <f>G11</f>
        <v>60000</v>
      </c>
      <c r="I11" s="40">
        <v>0</v>
      </c>
      <c r="J11" s="40">
        <v>0</v>
      </c>
      <c r="K11" s="40">
        <v>0</v>
      </c>
      <c r="L11" s="40"/>
      <c r="M11" s="40"/>
      <c r="N11" s="40"/>
      <c r="O11" s="40"/>
      <c r="P11" s="40"/>
    </row>
    <row r="12" spans="1:21" x14ac:dyDescent="0.25">
      <c r="A12" s="36"/>
      <c r="B12" s="38" t="s">
        <v>37</v>
      </c>
      <c r="C12" s="37"/>
      <c r="D12" s="40"/>
      <c r="E12" s="40"/>
      <c r="F12" s="39">
        <v>0</v>
      </c>
      <c r="G12" s="40">
        <v>0</v>
      </c>
      <c r="H12" s="39">
        <f t="shared" ref="H12:K12" si="6">SUM(H10:H11)</f>
        <v>210000</v>
      </c>
      <c r="I12" s="39">
        <f t="shared" si="6"/>
        <v>0</v>
      </c>
      <c r="J12" s="39">
        <f t="shared" si="6"/>
        <v>0</v>
      </c>
      <c r="K12" s="39">
        <f t="shared" si="6"/>
        <v>0</v>
      </c>
      <c r="L12" s="39"/>
      <c r="M12" s="39"/>
      <c r="N12" s="39"/>
      <c r="O12" s="39"/>
      <c r="P12" s="39"/>
    </row>
    <row r="13" spans="1:21" x14ac:dyDescent="0.25">
      <c r="A13" s="36"/>
      <c r="B13" s="37"/>
      <c r="C13" s="37"/>
      <c r="D13" s="40"/>
      <c r="E13" s="40"/>
      <c r="F13" s="40">
        <f t="shared" si="4"/>
        <v>0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</row>
    <row r="14" spans="1:21" x14ac:dyDescent="0.25">
      <c r="A14" s="36"/>
      <c r="B14" s="38" t="s">
        <v>38</v>
      </c>
      <c r="C14" s="37"/>
      <c r="D14" s="40"/>
      <c r="E14" s="40"/>
      <c r="F14" s="40">
        <f t="shared" si="4"/>
        <v>0</v>
      </c>
      <c r="G14" s="40"/>
      <c r="H14" s="40"/>
      <c r="I14" s="40"/>
      <c r="J14" s="40"/>
      <c r="K14" s="40"/>
      <c r="L14" s="40"/>
      <c r="M14" s="40"/>
      <c r="N14" s="40"/>
      <c r="O14" s="40"/>
      <c r="P14" s="40"/>
    </row>
    <row r="15" spans="1:21" x14ac:dyDescent="0.25">
      <c r="A15" s="36"/>
      <c r="B15" s="45" t="s">
        <v>39</v>
      </c>
      <c r="C15" s="37" t="s">
        <v>40</v>
      </c>
      <c r="D15" s="40">
        <v>10710</v>
      </c>
      <c r="E15" s="40">
        <v>1</v>
      </c>
      <c r="F15" s="40">
        <f>D15*E15</f>
        <v>10710</v>
      </c>
      <c r="G15" s="40">
        <f>F15</f>
        <v>10710</v>
      </c>
      <c r="H15" s="40">
        <f>F15</f>
        <v>10710</v>
      </c>
      <c r="I15" s="40">
        <f>H15</f>
        <v>10710</v>
      </c>
      <c r="J15" s="40">
        <f t="shared" ref="J15:U19" si="7">I15</f>
        <v>10710</v>
      </c>
      <c r="K15" s="40">
        <f t="shared" si="7"/>
        <v>10710</v>
      </c>
      <c r="L15" s="40">
        <f t="shared" si="7"/>
        <v>10710</v>
      </c>
      <c r="M15" s="40">
        <f t="shared" si="7"/>
        <v>10710</v>
      </c>
      <c r="N15" s="40">
        <f t="shared" si="7"/>
        <v>10710</v>
      </c>
      <c r="O15" s="40">
        <f t="shared" si="7"/>
        <v>10710</v>
      </c>
      <c r="P15" s="40">
        <f t="shared" si="7"/>
        <v>10710</v>
      </c>
      <c r="Q15" s="40">
        <f t="shared" si="7"/>
        <v>10710</v>
      </c>
      <c r="R15" s="40">
        <f t="shared" si="7"/>
        <v>10710</v>
      </c>
      <c r="S15" s="40">
        <f t="shared" si="7"/>
        <v>10710</v>
      </c>
      <c r="T15" s="40">
        <f t="shared" si="7"/>
        <v>10710</v>
      </c>
      <c r="U15" s="40">
        <f>T15*0.5</f>
        <v>5355</v>
      </c>
    </row>
    <row r="16" spans="1:21" x14ac:dyDescent="0.25">
      <c r="A16" s="36"/>
      <c r="B16" s="45" t="s">
        <v>41</v>
      </c>
      <c r="C16" s="37" t="s">
        <v>40</v>
      </c>
      <c r="D16" s="40">
        <v>2000</v>
      </c>
      <c r="E16" s="40">
        <v>900</v>
      </c>
      <c r="F16" s="40">
        <f>D16*E16</f>
        <v>1800000</v>
      </c>
      <c r="G16" s="40">
        <f>F16</f>
        <v>1800000</v>
      </c>
      <c r="H16" s="40">
        <f>F16</f>
        <v>1800000</v>
      </c>
      <c r="I16" s="40">
        <f t="shared" ref="I16" si="8">H16</f>
        <v>1800000</v>
      </c>
      <c r="J16" s="40">
        <f t="shared" ref="J16" si="9">H16</f>
        <v>1800000</v>
      </c>
      <c r="K16" s="40">
        <f t="shared" si="7"/>
        <v>1800000</v>
      </c>
      <c r="L16" s="40">
        <f t="shared" ref="L16" si="10">J16</f>
        <v>1800000</v>
      </c>
      <c r="M16" s="40">
        <f t="shared" si="7"/>
        <v>1800000</v>
      </c>
      <c r="N16" s="40">
        <f t="shared" ref="N16" si="11">L16</f>
        <v>1800000</v>
      </c>
      <c r="O16" s="40">
        <f t="shared" si="7"/>
        <v>1800000</v>
      </c>
      <c r="P16" s="40">
        <f t="shared" ref="P16" si="12">N16</f>
        <v>1800000</v>
      </c>
      <c r="Q16" s="40">
        <f t="shared" si="7"/>
        <v>1800000</v>
      </c>
      <c r="R16" s="40">
        <f t="shared" ref="R16" si="13">P16</f>
        <v>1800000</v>
      </c>
      <c r="S16" s="40">
        <f t="shared" si="7"/>
        <v>1800000</v>
      </c>
      <c r="T16" s="40">
        <f t="shared" ref="T16" si="14">R16</f>
        <v>1800000</v>
      </c>
      <c r="U16" s="40">
        <f t="shared" ref="U16" si="15">T16</f>
        <v>1800000</v>
      </c>
    </row>
    <row r="17" spans="1:22" x14ac:dyDescent="0.25">
      <c r="A17" s="36"/>
      <c r="B17" s="45" t="s">
        <v>42</v>
      </c>
      <c r="C17" s="37" t="s">
        <v>40</v>
      </c>
      <c r="D17" s="40"/>
      <c r="E17" s="40"/>
      <c r="F17" s="40">
        <v>1000000</v>
      </c>
      <c r="G17" s="40">
        <f>F17</f>
        <v>1000000</v>
      </c>
      <c r="H17" s="40">
        <f>F17</f>
        <v>1000000</v>
      </c>
      <c r="I17" s="40">
        <f>H17</f>
        <v>1000000</v>
      </c>
      <c r="J17" s="40">
        <f>I17</f>
        <v>1000000</v>
      </c>
      <c r="K17" s="40">
        <f t="shared" si="7"/>
        <v>1000000</v>
      </c>
      <c r="L17" s="40">
        <f t="shared" si="7"/>
        <v>1000000</v>
      </c>
      <c r="M17" s="40">
        <f t="shared" si="7"/>
        <v>1000000</v>
      </c>
      <c r="N17" s="40">
        <f t="shared" si="7"/>
        <v>1000000</v>
      </c>
      <c r="O17" s="40">
        <f t="shared" si="7"/>
        <v>1000000</v>
      </c>
      <c r="P17" s="40">
        <f t="shared" si="7"/>
        <v>1000000</v>
      </c>
      <c r="Q17" s="40">
        <f t="shared" si="7"/>
        <v>1000000</v>
      </c>
      <c r="R17" s="40">
        <f t="shared" si="7"/>
        <v>1000000</v>
      </c>
      <c r="S17" s="40">
        <f t="shared" si="7"/>
        <v>1000000</v>
      </c>
      <c r="T17" s="40">
        <f t="shared" si="7"/>
        <v>1000000</v>
      </c>
      <c r="U17" s="40">
        <f t="shared" si="7"/>
        <v>1000000</v>
      </c>
      <c r="V17" s="46"/>
    </row>
    <row r="18" spans="1:22" x14ac:dyDescent="0.25">
      <c r="A18" s="36"/>
      <c r="B18" s="45" t="s">
        <v>226</v>
      </c>
      <c r="C18" s="37" t="s">
        <v>40</v>
      </c>
      <c r="D18" s="40"/>
      <c r="E18" s="40"/>
      <c r="F18" s="40">
        <v>2080000</v>
      </c>
      <c r="G18" s="40">
        <f t="shared" ref="G18" si="16">F18</f>
        <v>2080000</v>
      </c>
      <c r="H18" s="40">
        <f>G18</f>
        <v>2080000</v>
      </c>
      <c r="I18" s="40">
        <f t="shared" ref="I18:P19" si="17">H18</f>
        <v>2080000</v>
      </c>
      <c r="J18" s="40">
        <f t="shared" si="17"/>
        <v>2080000</v>
      </c>
      <c r="K18" s="40">
        <f t="shared" si="17"/>
        <v>2080000</v>
      </c>
      <c r="L18" s="40">
        <f t="shared" si="17"/>
        <v>2080000</v>
      </c>
      <c r="M18" s="40">
        <f t="shared" si="17"/>
        <v>2080000</v>
      </c>
      <c r="N18" s="40">
        <f t="shared" si="17"/>
        <v>2080000</v>
      </c>
      <c r="O18" s="40">
        <f t="shared" si="17"/>
        <v>2080000</v>
      </c>
      <c r="P18" s="40">
        <f t="shared" si="17"/>
        <v>2080000</v>
      </c>
      <c r="Q18" s="40">
        <f t="shared" si="7"/>
        <v>2080000</v>
      </c>
      <c r="R18" s="40">
        <f t="shared" si="7"/>
        <v>2080000</v>
      </c>
      <c r="S18" s="40">
        <f t="shared" si="7"/>
        <v>2080000</v>
      </c>
      <c r="T18" s="40">
        <f t="shared" si="7"/>
        <v>2080000</v>
      </c>
      <c r="U18" s="40">
        <f t="shared" si="7"/>
        <v>2080000</v>
      </c>
      <c r="V18" s="46"/>
    </row>
    <row r="19" spans="1:22" x14ac:dyDescent="0.25">
      <c r="A19" s="36"/>
      <c r="B19" s="45" t="s">
        <v>43</v>
      </c>
      <c r="C19" s="37" t="s">
        <v>40</v>
      </c>
      <c r="D19" s="40"/>
      <c r="E19" s="40"/>
      <c r="F19" s="40">
        <v>550000</v>
      </c>
      <c r="G19" s="40">
        <f>F19</f>
        <v>550000</v>
      </c>
      <c r="H19" s="40">
        <f>F19</f>
        <v>550000</v>
      </c>
      <c r="I19" s="40">
        <f t="shared" si="17"/>
        <v>550000</v>
      </c>
      <c r="J19" s="40">
        <f t="shared" si="17"/>
        <v>550000</v>
      </c>
      <c r="K19" s="40">
        <f t="shared" si="17"/>
        <v>550000</v>
      </c>
      <c r="L19" s="40">
        <f t="shared" si="17"/>
        <v>550000</v>
      </c>
      <c r="M19" s="40">
        <f t="shared" si="17"/>
        <v>550000</v>
      </c>
      <c r="N19" s="40">
        <f t="shared" si="17"/>
        <v>550000</v>
      </c>
      <c r="O19" s="40">
        <f t="shared" si="17"/>
        <v>550000</v>
      </c>
      <c r="P19" s="40">
        <f t="shared" si="17"/>
        <v>550000</v>
      </c>
      <c r="Q19" s="40">
        <f t="shared" si="7"/>
        <v>550000</v>
      </c>
      <c r="R19" s="40">
        <f t="shared" si="7"/>
        <v>550000</v>
      </c>
      <c r="S19" s="40">
        <f t="shared" si="7"/>
        <v>550000</v>
      </c>
      <c r="T19" s="40">
        <f t="shared" si="7"/>
        <v>550000</v>
      </c>
      <c r="U19" s="40">
        <f t="shared" si="7"/>
        <v>550000</v>
      </c>
    </row>
    <row r="20" spans="1:22" x14ac:dyDescent="0.25">
      <c r="A20" s="36"/>
      <c r="B20" s="38" t="s">
        <v>44</v>
      </c>
      <c r="C20" s="37"/>
      <c r="D20" s="40"/>
      <c r="E20" s="40"/>
      <c r="F20" s="39">
        <f t="shared" ref="F20:U20" si="18">SUM(F15:F19)</f>
        <v>5440710</v>
      </c>
      <c r="G20" s="40">
        <f t="shared" si="18"/>
        <v>5440710</v>
      </c>
      <c r="H20" s="39">
        <f t="shared" si="18"/>
        <v>5440710</v>
      </c>
      <c r="I20" s="39">
        <f t="shared" si="18"/>
        <v>5440710</v>
      </c>
      <c r="J20" s="39">
        <f t="shared" si="18"/>
        <v>5440710</v>
      </c>
      <c r="K20" s="39">
        <f t="shared" si="18"/>
        <v>5440710</v>
      </c>
      <c r="L20" s="39">
        <f t="shared" si="18"/>
        <v>5440710</v>
      </c>
      <c r="M20" s="39">
        <f t="shared" si="18"/>
        <v>5440710</v>
      </c>
      <c r="N20" s="39">
        <f t="shared" si="18"/>
        <v>5440710</v>
      </c>
      <c r="O20" s="39">
        <f t="shared" si="18"/>
        <v>5440710</v>
      </c>
      <c r="P20" s="39">
        <f t="shared" si="18"/>
        <v>5440710</v>
      </c>
      <c r="Q20" s="39">
        <f t="shared" si="18"/>
        <v>5440710</v>
      </c>
      <c r="R20" s="39">
        <f t="shared" si="18"/>
        <v>5440710</v>
      </c>
      <c r="S20" s="39">
        <f t="shared" si="18"/>
        <v>5440710</v>
      </c>
      <c r="T20" s="39">
        <f t="shared" si="18"/>
        <v>5440710</v>
      </c>
      <c r="U20" s="39">
        <f t="shared" si="18"/>
        <v>5435355</v>
      </c>
    </row>
    <row r="21" spans="1:22" x14ac:dyDescent="0.25">
      <c r="A21" s="36"/>
      <c r="B21" s="47"/>
      <c r="C21" s="37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</row>
    <row r="22" spans="1:22" x14ac:dyDescent="0.25">
      <c r="A22" s="36"/>
      <c r="B22" s="38" t="s">
        <v>45</v>
      </c>
      <c r="C22" s="37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</row>
    <row r="23" spans="1:22" x14ac:dyDescent="0.25">
      <c r="A23" s="36"/>
      <c r="B23" s="37" t="s">
        <v>46</v>
      </c>
      <c r="C23" s="37" t="s">
        <v>47</v>
      </c>
      <c r="D23" s="40">
        <v>1</v>
      </c>
      <c r="E23" s="40">
        <f>E11/15</f>
        <v>4000</v>
      </c>
      <c r="F23" s="40">
        <f>D23*E23</f>
        <v>4000</v>
      </c>
      <c r="G23" s="40">
        <f t="shared" ref="G23" si="19">F23</f>
        <v>4000</v>
      </c>
      <c r="H23" s="40">
        <f>D23*E23</f>
        <v>4000</v>
      </c>
      <c r="I23" s="40">
        <f t="shared" ref="I23:U23" si="20">H23</f>
        <v>4000</v>
      </c>
      <c r="J23" s="40">
        <f t="shared" si="20"/>
        <v>4000</v>
      </c>
      <c r="K23" s="40">
        <f t="shared" si="20"/>
        <v>4000</v>
      </c>
      <c r="L23" s="40">
        <f t="shared" si="20"/>
        <v>4000</v>
      </c>
      <c r="M23" s="40">
        <f t="shared" si="20"/>
        <v>4000</v>
      </c>
      <c r="N23" s="40">
        <f t="shared" si="20"/>
        <v>4000</v>
      </c>
      <c r="O23" s="40">
        <f t="shared" si="20"/>
        <v>4000</v>
      </c>
      <c r="P23" s="40">
        <f t="shared" si="20"/>
        <v>4000</v>
      </c>
      <c r="Q23" s="40">
        <f t="shared" si="20"/>
        <v>4000</v>
      </c>
      <c r="R23" s="40">
        <f t="shared" si="20"/>
        <v>4000</v>
      </c>
      <c r="S23" s="40">
        <f t="shared" si="20"/>
        <v>4000</v>
      </c>
      <c r="T23" s="40">
        <f t="shared" si="20"/>
        <v>4000</v>
      </c>
      <c r="U23" s="40">
        <f t="shared" si="20"/>
        <v>4000</v>
      </c>
      <c r="V23" s="48">
        <f>SUM(H23:U23)</f>
        <v>56000</v>
      </c>
    </row>
    <row r="24" spans="1:22" x14ac:dyDescent="0.25">
      <c r="A24" s="36"/>
      <c r="B24" s="38" t="s">
        <v>48</v>
      </c>
      <c r="C24" s="37"/>
      <c r="D24" s="40"/>
      <c r="E24" s="40"/>
      <c r="F24" s="39">
        <f>F15</f>
        <v>10710</v>
      </c>
      <c r="G24" s="39">
        <f t="shared" ref="G24:U24" si="21">G15</f>
        <v>10710</v>
      </c>
      <c r="H24" s="39">
        <f t="shared" si="21"/>
        <v>10710</v>
      </c>
      <c r="I24" s="39">
        <f t="shared" si="21"/>
        <v>10710</v>
      </c>
      <c r="J24" s="39">
        <f t="shared" si="21"/>
        <v>10710</v>
      </c>
      <c r="K24" s="39">
        <f t="shared" si="21"/>
        <v>10710</v>
      </c>
      <c r="L24" s="39">
        <f t="shared" si="21"/>
        <v>10710</v>
      </c>
      <c r="M24" s="39">
        <f t="shared" si="21"/>
        <v>10710</v>
      </c>
      <c r="N24" s="39">
        <f t="shared" si="21"/>
        <v>10710</v>
      </c>
      <c r="O24" s="39">
        <f t="shared" si="21"/>
        <v>10710</v>
      </c>
      <c r="P24" s="39">
        <f t="shared" si="21"/>
        <v>10710</v>
      </c>
      <c r="Q24" s="39">
        <f t="shared" si="21"/>
        <v>10710</v>
      </c>
      <c r="R24" s="39">
        <f t="shared" si="21"/>
        <v>10710</v>
      </c>
      <c r="S24" s="39">
        <f t="shared" si="21"/>
        <v>10710</v>
      </c>
      <c r="T24" s="39">
        <f t="shared" si="21"/>
        <v>10710</v>
      </c>
      <c r="U24" s="39">
        <f t="shared" si="21"/>
        <v>5355</v>
      </c>
    </row>
    <row r="25" spans="1:22" x14ac:dyDescent="0.25">
      <c r="A25" s="36"/>
      <c r="B25" s="38" t="s">
        <v>49</v>
      </c>
      <c r="C25" s="37"/>
      <c r="D25" s="40"/>
      <c r="E25" s="40"/>
      <c r="F25" s="39">
        <f t="shared" ref="F25:U25" si="22">F12+F20+F24</f>
        <v>5451420</v>
      </c>
      <c r="G25" s="39">
        <f t="shared" si="22"/>
        <v>5451420</v>
      </c>
      <c r="H25" s="39">
        <f t="shared" si="22"/>
        <v>5661420</v>
      </c>
      <c r="I25" s="39">
        <f t="shared" si="22"/>
        <v>5451420</v>
      </c>
      <c r="J25" s="39">
        <f t="shared" si="22"/>
        <v>5451420</v>
      </c>
      <c r="K25" s="39">
        <f t="shared" si="22"/>
        <v>5451420</v>
      </c>
      <c r="L25" s="39">
        <f t="shared" si="22"/>
        <v>5451420</v>
      </c>
      <c r="M25" s="39">
        <f t="shared" si="22"/>
        <v>5451420</v>
      </c>
      <c r="N25" s="39">
        <f t="shared" si="22"/>
        <v>5451420</v>
      </c>
      <c r="O25" s="39">
        <f t="shared" si="22"/>
        <v>5451420</v>
      </c>
      <c r="P25" s="39">
        <f t="shared" si="22"/>
        <v>5451420</v>
      </c>
      <c r="Q25" s="39">
        <f t="shared" si="22"/>
        <v>5451420</v>
      </c>
      <c r="R25" s="39">
        <f t="shared" si="22"/>
        <v>5451420</v>
      </c>
      <c r="S25" s="39">
        <f t="shared" si="22"/>
        <v>5451420</v>
      </c>
      <c r="T25" s="39">
        <f t="shared" si="22"/>
        <v>5451420</v>
      </c>
      <c r="U25" s="39">
        <f t="shared" si="22"/>
        <v>5440710</v>
      </c>
    </row>
    <row r="26" spans="1:22" x14ac:dyDescent="0.25">
      <c r="A26" s="36"/>
      <c r="B26" s="38"/>
      <c r="C26" s="37"/>
      <c r="D26" s="40"/>
      <c r="E26" s="49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</row>
    <row r="27" spans="1:22" x14ac:dyDescent="0.25">
      <c r="A27" s="36"/>
      <c r="B27" s="38" t="s">
        <v>50</v>
      </c>
      <c r="C27" s="37" t="s">
        <v>47</v>
      </c>
      <c r="D27" s="40"/>
      <c r="E27" s="40"/>
      <c r="F27" s="40"/>
      <c r="G27" s="39"/>
      <c r="H27" s="39"/>
      <c r="I27" s="39">
        <f>-(I6-I12-I20)</f>
        <v>3931260</v>
      </c>
      <c r="J27" s="39">
        <f t="shared" ref="J27:U27" si="23">J6-J12-J20</f>
        <v>-2431260</v>
      </c>
      <c r="K27" s="39">
        <f t="shared" si="23"/>
        <v>-1831260</v>
      </c>
      <c r="L27" s="39">
        <f t="shared" si="23"/>
        <v>-1111260</v>
      </c>
      <c r="M27" s="39">
        <f t="shared" si="23"/>
        <v>-247260</v>
      </c>
      <c r="N27" s="39">
        <f t="shared" si="23"/>
        <v>789540</v>
      </c>
      <c r="O27" s="39">
        <f t="shared" si="23"/>
        <v>2033700</v>
      </c>
      <c r="P27" s="39">
        <f t="shared" si="23"/>
        <v>3526692</v>
      </c>
      <c r="Q27" s="39">
        <f t="shared" si="23"/>
        <v>5318282.4000000004</v>
      </c>
      <c r="R27" s="39">
        <f t="shared" si="23"/>
        <v>7468190.8800000008</v>
      </c>
      <c r="S27" s="39">
        <f t="shared" si="23"/>
        <v>10048081.056</v>
      </c>
      <c r="T27" s="39">
        <f t="shared" si="23"/>
        <v>13143949.267200001</v>
      </c>
      <c r="U27" s="39">
        <f t="shared" si="23"/>
        <v>16864346.120639998</v>
      </c>
    </row>
    <row r="28" spans="1:22" x14ac:dyDescent="0.25">
      <c r="A28" s="36"/>
      <c r="B28" s="38" t="s">
        <v>51</v>
      </c>
      <c r="C28" s="37" t="s">
        <v>47</v>
      </c>
      <c r="D28" s="40"/>
      <c r="E28" s="40"/>
      <c r="F28" s="40"/>
      <c r="G28" s="39">
        <f>H28</f>
        <v>-3920550</v>
      </c>
      <c r="H28" s="39">
        <f>I28</f>
        <v>-3920550</v>
      </c>
      <c r="I28" s="39">
        <f>-(I27-I24)</f>
        <v>-3920550</v>
      </c>
      <c r="J28" s="39">
        <f>I28</f>
        <v>-3920550</v>
      </c>
      <c r="K28" s="39">
        <f>K27-K24</f>
        <v>-1841970</v>
      </c>
      <c r="L28" s="39">
        <f>L27-L24</f>
        <v>-1121970</v>
      </c>
      <c r="M28" s="39">
        <f>(M27-M24)</f>
        <v>-257970</v>
      </c>
      <c r="N28" s="39">
        <f t="shared" ref="N28:U28" si="24">N27-N24</f>
        <v>778830</v>
      </c>
      <c r="O28" s="39">
        <f t="shared" si="24"/>
        <v>2022990</v>
      </c>
      <c r="P28" s="39">
        <f t="shared" si="24"/>
        <v>3515982</v>
      </c>
      <c r="Q28" s="39">
        <f t="shared" si="24"/>
        <v>5307572.4000000004</v>
      </c>
      <c r="R28" s="39">
        <f t="shared" si="24"/>
        <v>7457480.8800000008</v>
      </c>
      <c r="S28" s="39">
        <f t="shared" si="24"/>
        <v>10037371.056</v>
      </c>
      <c r="T28" s="39">
        <f t="shared" si="24"/>
        <v>13133239.267200001</v>
      </c>
      <c r="U28" s="39">
        <f t="shared" si="24"/>
        <v>16858991.120639998</v>
      </c>
    </row>
    <row r="29" spans="1:22" x14ac:dyDescent="0.25">
      <c r="A29" s="1"/>
      <c r="B29" s="140" t="s">
        <v>52</v>
      </c>
      <c r="C29" s="141"/>
      <c r="D29" s="141"/>
      <c r="E29" s="141"/>
      <c r="F29" s="142"/>
      <c r="G29" s="53">
        <f>IRR(I28:U28)</f>
        <v>0.21018030787872766</v>
      </c>
      <c r="H29" s="54"/>
      <c r="I29" s="54"/>
      <c r="J29" s="54"/>
      <c r="K29" s="54"/>
      <c r="L29" s="54"/>
      <c r="M29" s="54"/>
      <c r="N29" s="54"/>
      <c r="O29" s="54"/>
      <c r="P29" s="54"/>
    </row>
    <row r="30" spans="1:22" x14ac:dyDescent="0.25">
      <c r="A30" s="1"/>
      <c r="B30" s="140" t="s">
        <v>53</v>
      </c>
      <c r="C30" s="141"/>
      <c r="D30" s="141"/>
      <c r="E30" s="141"/>
      <c r="F30" s="142"/>
      <c r="G30" s="55">
        <f>NPV(0.1,G28:U28)</f>
        <v>2878026.452825672</v>
      </c>
      <c r="H30" s="54"/>
      <c r="I30" s="54"/>
      <c r="J30" s="54"/>
      <c r="K30" s="54"/>
      <c r="L30" s="54"/>
      <c r="M30" s="54"/>
      <c r="N30" s="54"/>
      <c r="O30" s="54"/>
      <c r="P30" s="54"/>
    </row>
    <row r="31" spans="1:22" x14ac:dyDescent="0.25">
      <c r="A31" s="1"/>
      <c r="B31" s="148"/>
      <c r="C31" s="148"/>
      <c r="D31" s="148"/>
      <c r="E31" s="148"/>
      <c r="F31" s="148"/>
      <c r="G31" s="56"/>
      <c r="H31" s="57"/>
      <c r="I31" s="57"/>
      <c r="J31" s="57"/>
      <c r="K31" s="57"/>
      <c r="L31" s="57"/>
      <c r="M31" s="57"/>
      <c r="N31" s="57"/>
      <c r="O31" s="57"/>
      <c r="P31" s="57"/>
    </row>
    <row r="32" spans="1:22" x14ac:dyDescent="0.25">
      <c r="A32" s="1"/>
      <c r="B32" s="148"/>
      <c r="C32" s="149"/>
      <c r="D32" s="149"/>
      <c r="E32" s="149"/>
      <c r="F32" s="149"/>
      <c r="G32" s="58"/>
      <c r="H32" s="57"/>
      <c r="I32" s="57"/>
      <c r="J32" s="57"/>
      <c r="K32" s="57"/>
      <c r="L32" s="57"/>
      <c r="M32" s="57"/>
      <c r="N32" s="57"/>
      <c r="O32" s="57"/>
      <c r="P32" s="57"/>
    </row>
    <row r="33" spans="1:21" x14ac:dyDescent="0.25">
      <c r="A33" s="1"/>
      <c r="B33" s="148"/>
      <c r="C33" s="149"/>
      <c r="D33" s="149"/>
      <c r="E33" s="149"/>
      <c r="F33" s="149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</row>
    <row r="34" spans="1:21" x14ac:dyDescent="0.25">
      <c r="A34" s="1"/>
      <c r="B34" s="146"/>
      <c r="C34" s="147"/>
      <c r="D34" s="147"/>
      <c r="E34" s="147"/>
      <c r="F34" s="147"/>
      <c r="G34" s="53"/>
      <c r="H34" s="57"/>
      <c r="I34" s="57"/>
      <c r="J34" s="57"/>
      <c r="K34" s="57"/>
      <c r="L34" s="57"/>
      <c r="M34" s="57"/>
      <c r="N34" s="57"/>
      <c r="O34" s="57"/>
      <c r="P34" s="57"/>
    </row>
    <row r="35" spans="1:21" x14ac:dyDescent="0.25">
      <c r="A35" s="1"/>
      <c r="B35" s="146"/>
      <c r="C35" s="147"/>
      <c r="D35" s="147"/>
      <c r="E35" s="147"/>
      <c r="F35" s="147"/>
      <c r="G35" s="55"/>
      <c r="H35" s="57"/>
      <c r="I35" s="57"/>
      <c r="J35" s="57"/>
      <c r="K35" s="57"/>
      <c r="L35" s="57"/>
      <c r="M35" s="57"/>
      <c r="N35" s="57"/>
      <c r="O35" s="57"/>
      <c r="P35" s="57"/>
    </row>
    <row r="36" spans="1:21" x14ac:dyDescent="0.25">
      <c r="A36" s="1"/>
      <c r="B36" s="50"/>
      <c r="C36" s="51"/>
      <c r="D36" s="51"/>
      <c r="E36" s="51"/>
      <c r="F36" s="52"/>
      <c r="G36" s="55"/>
      <c r="H36" s="54"/>
      <c r="I36" s="54"/>
      <c r="J36" s="54"/>
      <c r="K36" s="54"/>
      <c r="L36" s="54"/>
      <c r="M36" s="54"/>
      <c r="N36" s="54"/>
      <c r="O36" s="54"/>
      <c r="P36" s="54"/>
    </row>
    <row r="37" spans="1:21" x14ac:dyDescent="0.25">
      <c r="A37" s="36"/>
      <c r="B37" s="37"/>
      <c r="C37" s="37"/>
      <c r="D37" s="40"/>
      <c r="E37" s="40"/>
      <c r="F37" s="40"/>
      <c r="G37" s="39"/>
      <c r="H37" s="40"/>
      <c r="I37" s="40"/>
      <c r="J37" s="40"/>
      <c r="K37" s="40"/>
      <c r="L37" s="40"/>
      <c r="M37" s="40"/>
      <c r="N37" s="40"/>
      <c r="O37" s="40"/>
      <c r="P37" s="40"/>
    </row>
    <row r="38" spans="1:21" x14ac:dyDescent="0.25">
      <c r="A38" s="36"/>
      <c r="B38" s="37"/>
      <c r="C38" s="37"/>
      <c r="D38" s="40"/>
      <c r="E38" s="40"/>
      <c r="F38" s="40"/>
      <c r="G38" s="39"/>
      <c r="H38" s="40"/>
      <c r="I38" s="40"/>
      <c r="J38" s="40"/>
      <c r="K38" s="40"/>
      <c r="L38" s="40"/>
      <c r="M38" s="40"/>
      <c r="N38" s="40"/>
      <c r="O38" s="40"/>
      <c r="P38" s="40"/>
    </row>
    <row r="39" spans="1:21" x14ac:dyDescent="0.25">
      <c r="A39" s="36"/>
      <c r="B39" s="36"/>
      <c r="C39" s="36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</row>
    <row r="40" spans="1:21" x14ac:dyDescent="0.25">
      <c r="A40" s="36"/>
      <c r="B40" s="36"/>
      <c r="C40" s="36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</row>
    <row r="41" spans="1:21" x14ac:dyDescent="0.25">
      <c r="A41" s="36"/>
      <c r="B41" s="143" t="s">
        <v>54</v>
      </c>
      <c r="C41" s="143"/>
      <c r="D41" s="143"/>
      <c r="E41" s="143"/>
      <c r="F41" s="143"/>
      <c r="G41" s="143"/>
      <c r="H41" s="143"/>
      <c r="I41" s="143"/>
      <c r="J41" s="143"/>
      <c r="K41" s="143"/>
      <c r="L41" s="143"/>
      <c r="M41" s="143"/>
      <c r="N41" s="143"/>
      <c r="O41" s="143"/>
      <c r="P41" s="143"/>
    </row>
    <row r="42" spans="1:21" x14ac:dyDescent="0.25">
      <c r="A42" s="36"/>
      <c r="B42" s="37"/>
      <c r="C42" s="38" t="s">
        <v>19</v>
      </c>
      <c r="D42" s="39" t="s">
        <v>20</v>
      </c>
      <c r="E42" s="39" t="s">
        <v>21</v>
      </c>
      <c r="F42" s="39" t="s">
        <v>22</v>
      </c>
      <c r="G42" s="144" t="s">
        <v>23</v>
      </c>
      <c r="H42" s="145"/>
      <c r="I42" s="145"/>
      <c r="J42" s="145"/>
      <c r="K42" s="145"/>
      <c r="L42" s="145"/>
      <c r="M42" s="145"/>
      <c r="N42" s="145"/>
      <c r="O42" s="145"/>
      <c r="P42" s="145"/>
    </row>
    <row r="43" spans="1:21" x14ac:dyDescent="0.25">
      <c r="A43" s="36"/>
      <c r="B43" s="38" t="s">
        <v>24</v>
      </c>
      <c r="C43" s="37"/>
      <c r="D43" s="150" t="s">
        <v>25</v>
      </c>
      <c r="E43" s="151"/>
      <c r="F43" s="152"/>
      <c r="G43" s="40">
        <v>1</v>
      </c>
      <c r="H43" s="40">
        <f t="shared" ref="H43:P43" si="25">G43+1</f>
        <v>2</v>
      </c>
      <c r="I43" s="40">
        <f t="shared" si="25"/>
        <v>3</v>
      </c>
      <c r="J43" s="40">
        <f t="shared" si="25"/>
        <v>4</v>
      </c>
      <c r="K43" s="40">
        <f t="shared" si="25"/>
        <v>5</v>
      </c>
      <c r="L43" s="40">
        <f t="shared" si="25"/>
        <v>6</v>
      </c>
      <c r="M43" s="40">
        <f t="shared" si="25"/>
        <v>7</v>
      </c>
      <c r="N43" s="40">
        <f t="shared" si="25"/>
        <v>8</v>
      </c>
      <c r="O43" s="40">
        <f t="shared" si="25"/>
        <v>9</v>
      </c>
      <c r="P43" s="40">
        <f t="shared" si="25"/>
        <v>10</v>
      </c>
      <c r="Q43">
        <v>11</v>
      </c>
      <c r="R43">
        <v>12</v>
      </c>
      <c r="S43">
        <v>13</v>
      </c>
      <c r="T43">
        <v>14</v>
      </c>
      <c r="U43">
        <v>15</v>
      </c>
    </row>
    <row r="44" spans="1:21" ht="35.25" customHeight="1" x14ac:dyDescent="0.25">
      <c r="A44" s="36"/>
      <c r="B44" s="41" t="s">
        <v>26</v>
      </c>
      <c r="C44" s="37" t="s">
        <v>34</v>
      </c>
      <c r="D44" s="40">
        <f>D4</f>
        <v>1000</v>
      </c>
      <c r="E44" s="40">
        <f>E4*0.9</f>
        <v>2700</v>
      </c>
      <c r="F44" s="40"/>
      <c r="G44" s="40">
        <v>0</v>
      </c>
      <c r="H44" s="40">
        <f>F44</f>
        <v>0</v>
      </c>
      <c r="I44" s="40">
        <f>D44*E44</f>
        <v>2700000</v>
      </c>
      <c r="J44" s="40">
        <f>I44</f>
        <v>2700000</v>
      </c>
      <c r="K44" s="40">
        <f t="shared" ref="K44:U45" si="26">J44</f>
        <v>2700000</v>
      </c>
      <c r="L44" s="40">
        <f t="shared" si="26"/>
        <v>2700000</v>
      </c>
      <c r="M44" s="40">
        <f t="shared" si="26"/>
        <v>2700000</v>
      </c>
      <c r="N44" s="40">
        <f t="shared" si="26"/>
        <v>2700000</v>
      </c>
      <c r="O44" s="40">
        <f t="shared" si="26"/>
        <v>2700000</v>
      </c>
      <c r="P44" s="40">
        <f t="shared" si="26"/>
        <v>2700000</v>
      </c>
      <c r="Q44" s="40">
        <f t="shared" si="26"/>
        <v>2700000</v>
      </c>
      <c r="R44" s="40">
        <f t="shared" si="26"/>
        <v>2700000</v>
      </c>
      <c r="S44" s="40">
        <f t="shared" si="26"/>
        <v>2700000</v>
      </c>
      <c r="T44" s="40">
        <f t="shared" si="26"/>
        <v>2700000</v>
      </c>
      <c r="U44" s="40">
        <f t="shared" si="26"/>
        <v>2700000</v>
      </c>
    </row>
    <row r="45" spans="1:21" ht="22.5" customHeight="1" x14ac:dyDescent="0.25">
      <c r="A45" s="36"/>
      <c r="B45" s="41" t="s">
        <v>55</v>
      </c>
      <c r="C45" s="37" t="s">
        <v>56</v>
      </c>
      <c r="D45" s="42">
        <f>D5</f>
        <v>1800</v>
      </c>
      <c r="E45" s="40">
        <f>E5*0.9</f>
        <v>31.5</v>
      </c>
      <c r="F45" s="40"/>
      <c r="G45" s="40">
        <f>F45</f>
        <v>0</v>
      </c>
      <c r="H45" s="40">
        <f>F45</f>
        <v>0</v>
      </c>
      <c r="I45" s="40">
        <f>E45*D45</f>
        <v>56700</v>
      </c>
      <c r="J45" s="40">
        <f>I45</f>
        <v>56700</v>
      </c>
      <c r="K45" s="40">
        <f t="shared" si="26"/>
        <v>56700</v>
      </c>
      <c r="L45" s="40">
        <f t="shared" si="26"/>
        <v>56700</v>
      </c>
      <c r="M45" s="40">
        <f t="shared" si="26"/>
        <v>56700</v>
      </c>
      <c r="N45" s="40">
        <f t="shared" si="26"/>
        <v>56700</v>
      </c>
      <c r="O45" s="40">
        <f t="shared" si="26"/>
        <v>56700</v>
      </c>
      <c r="P45" s="40">
        <f t="shared" si="26"/>
        <v>56700</v>
      </c>
      <c r="Q45" s="40">
        <f t="shared" si="26"/>
        <v>56700</v>
      </c>
      <c r="R45" s="40">
        <f t="shared" si="26"/>
        <v>56700</v>
      </c>
      <c r="S45" s="40">
        <f t="shared" si="26"/>
        <v>56700</v>
      </c>
      <c r="T45" s="40">
        <f t="shared" si="26"/>
        <v>56700</v>
      </c>
      <c r="U45" s="40">
        <f t="shared" si="26"/>
        <v>56700</v>
      </c>
    </row>
    <row r="46" spans="1:21" x14ac:dyDescent="0.25">
      <c r="A46" s="36"/>
      <c r="B46" s="38" t="s">
        <v>30</v>
      </c>
      <c r="C46" s="37"/>
      <c r="D46" s="40"/>
      <c r="E46" s="40"/>
      <c r="F46" s="39">
        <f t="shared" ref="F46:U46" si="27">SUM(F44:F45)</f>
        <v>0</v>
      </c>
      <c r="G46" s="39">
        <f t="shared" si="27"/>
        <v>0</v>
      </c>
      <c r="H46" s="39">
        <f t="shared" si="27"/>
        <v>0</v>
      </c>
      <c r="I46" s="39">
        <f t="shared" si="27"/>
        <v>2756700</v>
      </c>
      <c r="J46" s="39">
        <f t="shared" si="27"/>
        <v>2756700</v>
      </c>
      <c r="K46" s="39">
        <f t="shared" si="27"/>
        <v>2756700</v>
      </c>
      <c r="L46" s="39">
        <f t="shared" si="27"/>
        <v>2756700</v>
      </c>
      <c r="M46" s="39">
        <f t="shared" si="27"/>
        <v>2756700</v>
      </c>
      <c r="N46" s="39">
        <f t="shared" si="27"/>
        <v>2756700</v>
      </c>
      <c r="O46" s="39">
        <f t="shared" si="27"/>
        <v>2756700</v>
      </c>
      <c r="P46" s="39">
        <f t="shared" si="27"/>
        <v>2756700</v>
      </c>
      <c r="Q46" s="39">
        <f t="shared" si="27"/>
        <v>2756700</v>
      </c>
      <c r="R46" s="39">
        <f t="shared" si="27"/>
        <v>2756700</v>
      </c>
      <c r="S46" s="39">
        <f t="shared" si="27"/>
        <v>2756700</v>
      </c>
      <c r="T46" s="39">
        <f t="shared" si="27"/>
        <v>2756700</v>
      </c>
      <c r="U46" s="39">
        <f t="shared" si="27"/>
        <v>2756700</v>
      </c>
    </row>
    <row r="47" spans="1:21" x14ac:dyDescent="0.25">
      <c r="A47" s="36"/>
      <c r="B47" s="37"/>
      <c r="C47" s="37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</row>
    <row r="48" spans="1:21" x14ac:dyDescent="0.25">
      <c r="A48" s="36"/>
      <c r="B48" s="43" t="s">
        <v>31</v>
      </c>
      <c r="C48" s="37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</row>
    <row r="49" spans="1:22" x14ac:dyDescent="0.25">
      <c r="A49" s="36"/>
      <c r="B49" s="38" t="s">
        <v>32</v>
      </c>
      <c r="C49" s="37"/>
      <c r="D49" s="40"/>
      <c r="E49" s="40"/>
      <c r="F49" s="44"/>
      <c r="G49" s="40"/>
      <c r="H49" s="40"/>
      <c r="I49" s="40"/>
      <c r="J49" s="40"/>
      <c r="K49" s="40"/>
      <c r="L49" s="40"/>
      <c r="M49" s="40"/>
      <c r="N49" s="40"/>
      <c r="O49" s="40"/>
      <c r="P49" s="40"/>
    </row>
    <row r="50" spans="1:22" x14ac:dyDescent="0.25">
      <c r="A50" s="36"/>
      <c r="B50" s="45" t="s">
        <v>33</v>
      </c>
      <c r="C50" s="37" t="s">
        <v>34</v>
      </c>
      <c r="D50" s="40">
        <f>D10</f>
        <v>500</v>
      </c>
      <c r="E50" s="40">
        <f>E10*0.9</f>
        <v>270</v>
      </c>
      <c r="F50" s="40">
        <f>D50*E50</f>
        <v>135000</v>
      </c>
      <c r="G50" s="40">
        <f>D50*E50</f>
        <v>135000</v>
      </c>
      <c r="H50" s="40">
        <f>G50</f>
        <v>135000</v>
      </c>
      <c r="I50" s="40">
        <v>0</v>
      </c>
      <c r="J50" s="40">
        <v>0</v>
      </c>
      <c r="K50" s="40">
        <v>0</v>
      </c>
      <c r="L50" s="40"/>
      <c r="M50" s="40"/>
      <c r="N50" s="40"/>
      <c r="O50" s="40"/>
      <c r="P50" s="40"/>
    </row>
    <row r="51" spans="1:22" x14ac:dyDescent="0.25">
      <c r="A51" s="36"/>
      <c r="B51" s="45" t="s">
        <v>35</v>
      </c>
      <c r="C51" s="37" t="s">
        <v>36</v>
      </c>
      <c r="D51" s="40">
        <v>1</v>
      </c>
      <c r="E51" s="40">
        <f>E11*0.9</f>
        <v>54000</v>
      </c>
      <c r="F51" s="40">
        <f t="shared" ref="F51" si="28">D51*E51</f>
        <v>54000</v>
      </c>
      <c r="G51" s="40">
        <f>D51*E51</f>
        <v>54000</v>
      </c>
      <c r="H51" s="40">
        <f>G51</f>
        <v>54000</v>
      </c>
      <c r="I51" s="40">
        <v>0</v>
      </c>
      <c r="J51" s="40">
        <v>0</v>
      </c>
      <c r="K51" s="40">
        <v>0</v>
      </c>
      <c r="L51" s="40"/>
      <c r="M51" s="40"/>
      <c r="N51" s="40"/>
      <c r="O51" s="40"/>
      <c r="P51" s="40"/>
    </row>
    <row r="52" spans="1:22" x14ac:dyDescent="0.25">
      <c r="A52" s="36"/>
      <c r="B52" s="38" t="s">
        <v>37</v>
      </c>
      <c r="C52" s="37"/>
      <c r="D52" s="40"/>
      <c r="E52" s="40"/>
      <c r="F52" s="39">
        <f t="shared" ref="F52:K52" si="29">SUM(F50:F51)</f>
        <v>189000</v>
      </c>
      <c r="G52" s="39">
        <f t="shared" si="29"/>
        <v>189000</v>
      </c>
      <c r="H52" s="39">
        <f t="shared" si="29"/>
        <v>189000</v>
      </c>
      <c r="I52" s="39">
        <f t="shared" si="29"/>
        <v>0</v>
      </c>
      <c r="J52" s="39">
        <f t="shared" si="29"/>
        <v>0</v>
      </c>
      <c r="K52" s="39">
        <f t="shared" si="29"/>
        <v>0</v>
      </c>
      <c r="L52" s="39"/>
      <c r="M52" s="39"/>
      <c r="N52" s="39"/>
      <c r="O52" s="39"/>
      <c r="P52" s="39"/>
    </row>
    <row r="53" spans="1:22" x14ac:dyDescent="0.25">
      <c r="A53" s="36"/>
      <c r="B53" s="37"/>
      <c r="C53" s="37"/>
      <c r="D53" s="40"/>
      <c r="E53" s="40"/>
      <c r="F53" s="40">
        <f t="shared" ref="F53:F54" si="30">D53*E53</f>
        <v>0</v>
      </c>
      <c r="G53" s="40"/>
      <c r="H53" s="40"/>
      <c r="I53" s="40"/>
      <c r="J53" s="40"/>
      <c r="K53" s="40"/>
      <c r="L53" s="40"/>
      <c r="M53" s="40"/>
      <c r="N53" s="40"/>
      <c r="O53" s="40"/>
      <c r="P53" s="40"/>
    </row>
    <row r="54" spans="1:22" x14ac:dyDescent="0.25">
      <c r="A54" s="36"/>
      <c r="B54" s="38" t="s">
        <v>38</v>
      </c>
      <c r="C54" s="37"/>
      <c r="D54" s="40"/>
      <c r="E54" s="40"/>
      <c r="F54" s="40">
        <f t="shared" si="30"/>
        <v>0</v>
      </c>
      <c r="G54" s="40"/>
      <c r="H54" s="40"/>
      <c r="I54" s="40"/>
      <c r="J54" s="40"/>
      <c r="K54" s="40"/>
      <c r="L54" s="40"/>
      <c r="M54" s="40"/>
      <c r="N54" s="40"/>
      <c r="O54" s="40"/>
      <c r="P54" s="40"/>
    </row>
    <row r="55" spans="1:22" x14ac:dyDescent="0.25">
      <c r="A55" s="36"/>
      <c r="B55" s="45" t="s">
        <v>39</v>
      </c>
      <c r="C55" s="37" t="s">
        <v>40</v>
      </c>
      <c r="D55" s="40">
        <v>10700</v>
      </c>
      <c r="E55" s="40">
        <f>E15</f>
        <v>1</v>
      </c>
      <c r="F55" s="40">
        <f>D55*E55</f>
        <v>10700</v>
      </c>
      <c r="G55" s="40">
        <f>F55</f>
        <v>10700</v>
      </c>
      <c r="H55" s="40">
        <f>F55</f>
        <v>10700</v>
      </c>
      <c r="I55" s="40">
        <f>H55</f>
        <v>10700</v>
      </c>
      <c r="J55" s="40">
        <f t="shared" ref="J55:U59" si="31">I55</f>
        <v>10700</v>
      </c>
      <c r="K55" s="40">
        <f t="shared" si="31"/>
        <v>10700</v>
      </c>
      <c r="L55" s="40">
        <f t="shared" si="31"/>
        <v>10700</v>
      </c>
      <c r="M55" s="40">
        <f t="shared" si="31"/>
        <v>10700</v>
      </c>
      <c r="N55" s="40">
        <f t="shared" si="31"/>
        <v>10700</v>
      </c>
      <c r="O55" s="40">
        <f t="shared" si="31"/>
        <v>10700</v>
      </c>
      <c r="P55" s="40">
        <f t="shared" si="31"/>
        <v>10700</v>
      </c>
      <c r="Q55" s="40">
        <f t="shared" si="31"/>
        <v>10700</v>
      </c>
      <c r="R55" s="40">
        <f t="shared" si="31"/>
        <v>10700</v>
      </c>
      <c r="S55" s="40">
        <f t="shared" si="31"/>
        <v>10700</v>
      </c>
      <c r="T55" s="40">
        <f t="shared" si="31"/>
        <v>10700</v>
      </c>
      <c r="U55" s="40">
        <f>T55*0.5</f>
        <v>5350</v>
      </c>
    </row>
    <row r="56" spans="1:22" x14ac:dyDescent="0.25">
      <c r="A56" s="36"/>
      <c r="B56" s="45" t="s">
        <v>41</v>
      </c>
      <c r="C56" s="37" t="s">
        <v>40</v>
      </c>
      <c r="D56" s="40">
        <f>D16*0.9</f>
        <v>1800</v>
      </c>
      <c r="E56" s="40">
        <f>E16</f>
        <v>900</v>
      </c>
      <c r="F56" s="40">
        <f>D56*E56</f>
        <v>1620000</v>
      </c>
      <c r="G56" s="40">
        <f>F56</f>
        <v>1620000</v>
      </c>
      <c r="H56" s="40">
        <f>F56</f>
        <v>1620000</v>
      </c>
      <c r="I56" s="40">
        <f t="shared" ref="I56" si="32">H56</f>
        <v>1620000</v>
      </c>
      <c r="J56" s="40">
        <f t="shared" ref="J56" si="33">H56</f>
        <v>1620000</v>
      </c>
      <c r="K56" s="40">
        <f t="shared" si="31"/>
        <v>1620000</v>
      </c>
      <c r="L56" s="40">
        <f t="shared" ref="L56" si="34">J56</f>
        <v>1620000</v>
      </c>
      <c r="M56" s="40">
        <f t="shared" si="31"/>
        <v>1620000</v>
      </c>
      <c r="N56" s="40">
        <f t="shared" ref="N56" si="35">L56</f>
        <v>1620000</v>
      </c>
      <c r="O56" s="40">
        <f t="shared" si="31"/>
        <v>1620000</v>
      </c>
      <c r="P56" s="40">
        <f t="shared" ref="P56" si="36">N56</f>
        <v>1620000</v>
      </c>
      <c r="Q56" s="40">
        <f t="shared" si="31"/>
        <v>1620000</v>
      </c>
      <c r="R56" s="40">
        <f t="shared" ref="R56" si="37">P56</f>
        <v>1620000</v>
      </c>
      <c r="S56" s="40">
        <f t="shared" si="31"/>
        <v>1620000</v>
      </c>
      <c r="T56" s="40">
        <f t="shared" ref="T56" si="38">R56</f>
        <v>1620000</v>
      </c>
      <c r="U56" s="40">
        <f t="shared" si="31"/>
        <v>1620000</v>
      </c>
    </row>
    <row r="57" spans="1:22" x14ac:dyDescent="0.25">
      <c r="A57" s="36"/>
      <c r="B57" s="45" t="s">
        <v>42</v>
      </c>
      <c r="C57" s="37" t="s">
        <v>40</v>
      </c>
      <c r="D57" s="40"/>
      <c r="E57" s="40">
        <f>E17*0.9</f>
        <v>0</v>
      </c>
      <c r="F57" s="40">
        <f>F17*0.9</f>
        <v>900000</v>
      </c>
      <c r="G57" s="40">
        <f>G17*0.9</f>
        <v>900000</v>
      </c>
      <c r="H57" s="40">
        <f>F57</f>
        <v>900000</v>
      </c>
      <c r="I57" s="40">
        <f>H57</f>
        <v>900000</v>
      </c>
      <c r="J57" s="40">
        <f>I57</f>
        <v>900000</v>
      </c>
      <c r="K57" s="40">
        <f t="shared" si="31"/>
        <v>900000</v>
      </c>
      <c r="L57" s="40">
        <f t="shared" si="31"/>
        <v>900000</v>
      </c>
      <c r="M57" s="40">
        <f t="shared" si="31"/>
        <v>900000</v>
      </c>
      <c r="N57" s="40">
        <f t="shared" si="31"/>
        <v>900000</v>
      </c>
      <c r="O57" s="40">
        <f t="shared" si="31"/>
        <v>900000</v>
      </c>
      <c r="P57" s="40">
        <f t="shared" si="31"/>
        <v>900000</v>
      </c>
      <c r="Q57" s="40">
        <f t="shared" si="31"/>
        <v>900000</v>
      </c>
      <c r="R57" s="40">
        <f t="shared" si="31"/>
        <v>900000</v>
      </c>
      <c r="S57" s="40">
        <f t="shared" si="31"/>
        <v>900000</v>
      </c>
      <c r="T57" s="40">
        <f t="shared" si="31"/>
        <v>900000</v>
      </c>
      <c r="U57" s="40">
        <f t="shared" si="31"/>
        <v>900000</v>
      </c>
      <c r="V57" s="46"/>
    </row>
    <row r="58" spans="1:22" ht="21" customHeight="1" x14ac:dyDescent="0.25">
      <c r="A58" s="36"/>
      <c r="B58" s="45" t="s">
        <v>225</v>
      </c>
      <c r="C58" s="37" t="s">
        <v>40</v>
      </c>
      <c r="D58" s="40"/>
      <c r="E58" s="40"/>
      <c r="F58" s="40">
        <f>F18*0.9</f>
        <v>1872000</v>
      </c>
      <c r="G58" s="40">
        <f>F58</f>
        <v>1872000</v>
      </c>
      <c r="H58" s="40">
        <f>G58</f>
        <v>1872000</v>
      </c>
      <c r="I58" s="40">
        <f t="shared" ref="I58:K59" si="39">H58</f>
        <v>1872000</v>
      </c>
      <c r="J58" s="40">
        <f t="shared" si="39"/>
        <v>1872000</v>
      </c>
      <c r="K58" s="40">
        <f t="shared" si="31"/>
        <v>1872000</v>
      </c>
      <c r="L58" s="40">
        <f t="shared" si="31"/>
        <v>1872000</v>
      </c>
      <c r="M58" s="40">
        <f t="shared" si="31"/>
        <v>1872000</v>
      </c>
      <c r="N58" s="40">
        <f t="shared" si="31"/>
        <v>1872000</v>
      </c>
      <c r="O58" s="40">
        <f t="shared" si="31"/>
        <v>1872000</v>
      </c>
      <c r="P58" s="40">
        <f t="shared" si="31"/>
        <v>1872000</v>
      </c>
      <c r="Q58" s="40">
        <f t="shared" si="31"/>
        <v>1872000</v>
      </c>
      <c r="R58" s="40">
        <f t="shared" si="31"/>
        <v>1872000</v>
      </c>
      <c r="S58" s="40">
        <f t="shared" si="31"/>
        <v>1872000</v>
      </c>
      <c r="T58" s="40">
        <f t="shared" si="31"/>
        <v>1872000</v>
      </c>
      <c r="U58" s="40">
        <f t="shared" si="31"/>
        <v>1872000</v>
      </c>
      <c r="V58" s="46"/>
    </row>
    <row r="59" spans="1:22" x14ac:dyDescent="0.25">
      <c r="A59" s="36"/>
      <c r="B59" s="45" t="s">
        <v>57</v>
      </c>
      <c r="C59" s="37" t="s">
        <v>40</v>
      </c>
      <c r="D59" s="40">
        <v>1</v>
      </c>
      <c r="E59" s="40">
        <f>E19*0.9</f>
        <v>0</v>
      </c>
      <c r="F59" s="40">
        <f>F19*0.9</f>
        <v>495000</v>
      </c>
      <c r="G59" s="40">
        <f>G19*0.9</f>
        <v>495000</v>
      </c>
      <c r="H59" s="40">
        <f>G59</f>
        <v>495000</v>
      </c>
      <c r="I59" s="40">
        <f t="shared" si="39"/>
        <v>495000</v>
      </c>
      <c r="J59" s="40">
        <f t="shared" si="39"/>
        <v>495000</v>
      </c>
      <c r="K59" s="40">
        <f t="shared" si="39"/>
        <v>495000</v>
      </c>
      <c r="L59" s="40">
        <f t="shared" si="31"/>
        <v>495000</v>
      </c>
      <c r="M59" s="40">
        <f t="shared" si="31"/>
        <v>495000</v>
      </c>
      <c r="N59" s="40">
        <f t="shared" si="31"/>
        <v>495000</v>
      </c>
      <c r="O59" s="40">
        <f t="shared" si="31"/>
        <v>495000</v>
      </c>
      <c r="P59" s="40">
        <f t="shared" si="31"/>
        <v>495000</v>
      </c>
      <c r="Q59" s="40">
        <f t="shared" si="31"/>
        <v>495000</v>
      </c>
      <c r="R59" s="40">
        <f t="shared" si="31"/>
        <v>495000</v>
      </c>
      <c r="S59" s="40">
        <f t="shared" si="31"/>
        <v>495000</v>
      </c>
      <c r="T59" s="40">
        <f t="shared" si="31"/>
        <v>495000</v>
      </c>
      <c r="U59" s="40">
        <f t="shared" si="31"/>
        <v>495000</v>
      </c>
    </row>
    <row r="60" spans="1:22" x14ac:dyDescent="0.25">
      <c r="A60" s="36"/>
      <c r="B60" s="38" t="s">
        <v>44</v>
      </c>
      <c r="C60" s="37"/>
      <c r="D60" s="40"/>
      <c r="E60" s="40"/>
      <c r="F60" s="39">
        <f t="shared" ref="F60:U60" si="40">SUM(F55:F59)</f>
        <v>4897700</v>
      </c>
      <c r="G60" s="39">
        <f t="shared" si="40"/>
        <v>4897700</v>
      </c>
      <c r="H60" s="39">
        <f t="shared" si="40"/>
        <v>4897700</v>
      </c>
      <c r="I60" s="39">
        <f t="shared" si="40"/>
        <v>4897700</v>
      </c>
      <c r="J60" s="39">
        <f t="shared" si="40"/>
        <v>4897700</v>
      </c>
      <c r="K60" s="39">
        <f t="shared" si="40"/>
        <v>4897700</v>
      </c>
      <c r="L60" s="39">
        <f t="shared" si="40"/>
        <v>4897700</v>
      </c>
      <c r="M60" s="39">
        <f t="shared" si="40"/>
        <v>4897700</v>
      </c>
      <c r="N60" s="39">
        <f t="shared" si="40"/>
        <v>4897700</v>
      </c>
      <c r="O60" s="39">
        <f t="shared" si="40"/>
        <v>4897700</v>
      </c>
      <c r="P60" s="39">
        <f t="shared" si="40"/>
        <v>4897700</v>
      </c>
      <c r="Q60" s="39">
        <f t="shared" si="40"/>
        <v>4897700</v>
      </c>
      <c r="R60" s="39">
        <f t="shared" si="40"/>
        <v>4897700</v>
      </c>
      <c r="S60" s="39">
        <f t="shared" si="40"/>
        <v>4897700</v>
      </c>
      <c r="T60" s="39">
        <f t="shared" si="40"/>
        <v>4897700</v>
      </c>
      <c r="U60" s="39">
        <f t="shared" si="40"/>
        <v>4892350</v>
      </c>
    </row>
    <row r="61" spans="1:22" x14ac:dyDescent="0.25">
      <c r="A61" s="36"/>
      <c r="B61" s="47"/>
      <c r="C61" s="37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</row>
    <row r="62" spans="1:22" x14ac:dyDescent="0.25">
      <c r="A62" s="36"/>
      <c r="B62" s="38" t="s">
        <v>45</v>
      </c>
      <c r="C62" s="37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</row>
    <row r="63" spans="1:22" x14ac:dyDescent="0.25">
      <c r="A63" s="36"/>
      <c r="B63" s="37" t="s">
        <v>46</v>
      </c>
      <c r="C63" s="37"/>
      <c r="D63" s="40"/>
      <c r="E63" s="40"/>
      <c r="F63" s="40">
        <f>E23</f>
        <v>4000</v>
      </c>
      <c r="G63" s="40">
        <f>F63</f>
        <v>4000</v>
      </c>
      <c r="H63" s="40">
        <f t="shared" ref="H63:U64" si="41">G63</f>
        <v>4000</v>
      </c>
      <c r="I63" s="40">
        <f t="shared" si="41"/>
        <v>4000</v>
      </c>
      <c r="J63" s="40">
        <f t="shared" si="41"/>
        <v>4000</v>
      </c>
      <c r="K63" s="40">
        <f t="shared" si="41"/>
        <v>4000</v>
      </c>
      <c r="L63" s="40">
        <f t="shared" si="41"/>
        <v>4000</v>
      </c>
      <c r="M63" s="40">
        <f t="shared" si="41"/>
        <v>4000</v>
      </c>
      <c r="N63" s="40">
        <f t="shared" si="41"/>
        <v>4000</v>
      </c>
      <c r="O63" s="40">
        <f t="shared" si="41"/>
        <v>4000</v>
      </c>
      <c r="P63" s="40">
        <f t="shared" si="41"/>
        <v>4000</v>
      </c>
      <c r="Q63" s="40">
        <f t="shared" si="41"/>
        <v>4000</v>
      </c>
      <c r="R63" s="40">
        <f t="shared" si="41"/>
        <v>4000</v>
      </c>
      <c r="S63" s="40">
        <f t="shared" si="41"/>
        <v>4000</v>
      </c>
      <c r="T63" s="40">
        <f t="shared" si="41"/>
        <v>4000</v>
      </c>
      <c r="U63" s="40">
        <f t="shared" si="41"/>
        <v>4000</v>
      </c>
      <c r="V63" s="48">
        <f>SUM(H63:U63)</f>
        <v>56000</v>
      </c>
    </row>
    <row r="64" spans="1:22" x14ac:dyDescent="0.25">
      <c r="A64" s="36"/>
      <c r="B64" s="38" t="s">
        <v>48</v>
      </c>
      <c r="C64" s="37"/>
      <c r="D64" s="40"/>
      <c r="E64" s="40"/>
      <c r="F64" s="39">
        <f>F24*0.9</f>
        <v>9639</v>
      </c>
      <c r="G64" s="39">
        <f>F64</f>
        <v>9639</v>
      </c>
      <c r="H64" s="39">
        <f t="shared" si="41"/>
        <v>9639</v>
      </c>
      <c r="I64" s="39">
        <f t="shared" si="41"/>
        <v>9639</v>
      </c>
      <c r="J64" s="39">
        <f t="shared" si="41"/>
        <v>9639</v>
      </c>
      <c r="K64" s="39">
        <f t="shared" si="41"/>
        <v>9639</v>
      </c>
      <c r="L64" s="39">
        <f t="shared" si="41"/>
        <v>9639</v>
      </c>
      <c r="M64" s="39">
        <f t="shared" si="41"/>
        <v>9639</v>
      </c>
      <c r="N64" s="39">
        <f t="shared" si="41"/>
        <v>9639</v>
      </c>
      <c r="O64" s="39">
        <f t="shared" si="41"/>
        <v>9639</v>
      </c>
      <c r="P64" s="39">
        <f t="shared" si="41"/>
        <v>9639</v>
      </c>
      <c r="Q64" s="39">
        <f t="shared" si="41"/>
        <v>9639</v>
      </c>
      <c r="R64" s="39">
        <f t="shared" si="41"/>
        <v>9639</v>
      </c>
      <c r="S64" s="39">
        <f t="shared" si="41"/>
        <v>9639</v>
      </c>
      <c r="T64" s="39">
        <f t="shared" si="41"/>
        <v>9639</v>
      </c>
      <c r="U64" s="39">
        <f t="shared" si="41"/>
        <v>9639</v>
      </c>
    </row>
    <row r="65" spans="1:21" x14ac:dyDescent="0.25">
      <c r="A65" s="36"/>
      <c r="B65" s="38" t="s">
        <v>49</v>
      </c>
      <c r="C65" s="37"/>
      <c r="D65" s="40"/>
      <c r="E65" s="40"/>
      <c r="F65" s="39">
        <f t="shared" ref="F65:U65" si="42">F52+F60+F64</f>
        <v>5096339</v>
      </c>
      <c r="G65" s="39">
        <f t="shared" si="42"/>
        <v>5096339</v>
      </c>
      <c r="H65" s="39">
        <f t="shared" si="42"/>
        <v>5096339</v>
      </c>
      <c r="I65" s="39">
        <f t="shared" si="42"/>
        <v>4907339</v>
      </c>
      <c r="J65" s="39">
        <f t="shared" si="42"/>
        <v>4907339</v>
      </c>
      <c r="K65" s="39">
        <f t="shared" si="42"/>
        <v>4907339</v>
      </c>
      <c r="L65" s="39">
        <f t="shared" si="42"/>
        <v>4907339</v>
      </c>
      <c r="M65" s="39">
        <f t="shared" si="42"/>
        <v>4907339</v>
      </c>
      <c r="N65" s="39">
        <f t="shared" si="42"/>
        <v>4907339</v>
      </c>
      <c r="O65" s="39">
        <f t="shared" si="42"/>
        <v>4907339</v>
      </c>
      <c r="P65" s="39">
        <f t="shared" si="42"/>
        <v>4907339</v>
      </c>
      <c r="Q65" s="39">
        <f t="shared" si="42"/>
        <v>4907339</v>
      </c>
      <c r="R65" s="39">
        <f t="shared" si="42"/>
        <v>4907339</v>
      </c>
      <c r="S65" s="39">
        <f t="shared" si="42"/>
        <v>4907339</v>
      </c>
      <c r="T65" s="39">
        <f t="shared" si="42"/>
        <v>4907339</v>
      </c>
      <c r="U65" s="39">
        <f t="shared" si="42"/>
        <v>4901989</v>
      </c>
    </row>
    <row r="66" spans="1:21" x14ac:dyDescent="0.25">
      <c r="A66" s="36"/>
      <c r="B66" s="38"/>
      <c r="C66" s="37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</row>
    <row r="67" spans="1:21" x14ac:dyDescent="0.25">
      <c r="A67" s="36"/>
      <c r="B67" s="38" t="s">
        <v>50</v>
      </c>
      <c r="C67" s="37" t="s">
        <v>47</v>
      </c>
      <c r="D67" s="40"/>
      <c r="E67" s="40"/>
      <c r="F67" s="40"/>
      <c r="G67" s="39"/>
      <c r="H67" s="39"/>
      <c r="I67" s="39">
        <f t="shared" ref="I67:U67" si="43">I46-I52-I60</f>
        <v>-2141000</v>
      </c>
      <c r="J67" s="39">
        <f t="shared" si="43"/>
        <v>-2141000</v>
      </c>
      <c r="K67" s="39">
        <f t="shared" si="43"/>
        <v>-2141000</v>
      </c>
      <c r="L67" s="39">
        <f t="shared" si="43"/>
        <v>-2141000</v>
      </c>
      <c r="M67" s="39">
        <f t="shared" si="43"/>
        <v>-2141000</v>
      </c>
      <c r="N67" s="39">
        <f t="shared" si="43"/>
        <v>-2141000</v>
      </c>
      <c r="O67" s="39">
        <f t="shared" si="43"/>
        <v>-2141000</v>
      </c>
      <c r="P67" s="39">
        <f t="shared" si="43"/>
        <v>-2141000</v>
      </c>
      <c r="Q67" s="39">
        <f t="shared" si="43"/>
        <v>-2141000</v>
      </c>
      <c r="R67" s="39">
        <f t="shared" si="43"/>
        <v>-2141000</v>
      </c>
      <c r="S67" s="39">
        <f t="shared" si="43"/>
        <v>-2141000</v>
      </c>
      <c r="T67" s="39">
        <f t="shared" si="43"/>
        <v>-2141000</v>
      </c>
      <c r="U67" s="39">
        <f t="shared" si="43"/>
        <v>-2135650</v>
      </c>
    </row>
    <row r="68" spans="1:21" x14ac:dyDescent="0.25">
      <c r="A68" s="36"/>
      <c r="B68" s="38" t="s">
        <v>51</v>
      </c>
      <c r="C68" s="37" t="s">
        <v>47</v>
      </c>
      <c r="D68" s="40"/>
      <c r="E68" s="40"/>
      <c r="F68" s="40"/>
      <c r="G68" s="39">
        <f>H68</f>
        <v>-2150639</v>
      </c>
      <c r="H68" s="39">
        <f>I68</f>
        <v>-2150639</v>
      </c>
      <c r="I68" s="39">
        <f>I67-I64</f>
        <v>-2150639</v>
      </c>
      <c r="J68" s="39">
        <f>-(J67-J64)</f>
        <v>2150639</v>
      </c>
      <c r="K68" s="39">
        <f>K67-K64</f>
        <v>-2150639</v>
      </c>
      <c r="L68" s="39">
        <f>-(L67-L64)</f>
        <v>2150639</v>
      </c>
      <c r="M68" s="39">
        <f>-(M67-M64)</f>
        <v>2150639</v>
      </c>
      <c r="N68" s="39">
        <f>-(N67-N64)</f>
        <v>2150639</v>
      </c>
      <c r="O68" s="39">
        <f>N68</f>
        <v>2150639</v>
      </c>
      <c r="P68" s="39">
        <f>O68</f>
        <v>2150639</v>
      </c>
      <c r="Q68" s="39">
        <f t="shared" ref="Q68:U68" si="44">P68</f>
        <v>2150639</v>
      </c>
      <c r="R68" s="39">
        <f t="shared" si="44"/>
        <v>2150639</v>
      </c>
      <c r="S68" s="39">
        <f t="shared" si="44"/>
        <v>2150639</v>
      </c>
      <c r="T68" s="39">
        <f t="shared" si="44"/>
        <v>2150639</v>
      </c>
      <c r="U68" s="39">
        <f t="shared" si="44"/>
        <v>2150639</v>
      </c>
    </row>
    <row r="69" spans="1:21" x14ac:dyDescent="0.25">
      <c r="A69" s="1"/>
      <c r="B69" s="140" t="s">
        <v>58</v>
      </c>
      <c r="C69" s="141"/>
      <c r="D69" s="141"/>
      <c r="E69" s="141"/>
      <c r="F69" s="142"/>
      <c r="G69" s="53">
        <f>IRR(G68:U68)</f>
        <v>0.16945185122815221</v>
      </c>
      <c r="H69" s="54"/>
      <c r="I69" s="54"/>
      <c r="J69" s="54"/>
      <c r="K69" s="54"/>
      <c r="L69" s="54"/>
      <c r="M69" s="54"/>
      <c r="N69" s="54"/>
      <c r="O69" s="54"/>
      <c r="P69" s="54"/>
    </row>
    <row r="70" spans="1:21" x14ac:dyDescent="0.25">
      <c r="A70" s="1"/>
      <c r="B70" s="140" t="s">
        <v>59</v>
      </c>
      <c r="C70" s="141"/>
      <c r="D70" s="141"/>
      <c r="E70" s="141"/>
      <c r="F70" s="142"/>
      <c r="G70" s="55">
        <f>NPV(0.1,G68:U68)</f>
        <v>2990534.2386856363</v>
      </c>
      <c r="H70" s="54"/>
      <c r="I70" s="54"/>
      <c r="J70" s="54"/>
      <c r="K70" s="54"/>
      <c r="L70" s="54"/>
      <c r="M70" s="54"/>
      <c r="N70" s="54"/>
      <c r="O70" s="54"/>
      <c r="P70" s="54"/>
    </row>
    <row r="71" spans="1:21" x14ac:dyDescent="0.25">
      <c r="A71" s="1"/>
      <c r="B71" s="148"/>
      <c r="C71" s="148"/>
      <c r="D71" s="148"/>
      <c r="E71" s="148"/>
      <c r="F71" s="148"/>
      <c r="G71" s="56"/>
      <c r="H71" s="57"/>
      <c r="I71" s="57"/>
      <c r="J71" s="57"/>
      <c r="K71" s="57"/>
      <c r="L71" s="57"/>
      <c r="M71" s="57"/>
      <c r="N71" s="57"/>
      <c r="O71" s="57"/>
      <c r="P71" s="57"/>
    </row>
    <row r="72" spans="1:21" x14ac:dyDescent="0.25">
      <c r="A72" s="1"/>
      <c r="B72" s="148"/>
      <c r="C72" s="149"/>
      <c r="D72" s="149"/>
      <c r="E72" s="149"/>
      <c r="F72" s="149"/>
      <c r="G72" s="58"/>
      <c r="H72" s="57"/>
      <c r="I72" s="57"/>
      <c r="J72" s="57"/>
      <c r="K72" s="57"/>
      <c r="L72" s="57"/>
      <c r="M72" s="57"/>
      <c r="N72" s="57"/>
      <c r="O72" s="57"/>
      <c r="P72" s="57"/>
    </row>
    <row r="73" spans="1:21" x14ac:dyDescent="0.25">
      <c r="A73" s="1"/>
      <c r="B73" s="148"/>
      <c r="C73" s="149"/>
      <c r="D73" s="149"/>
      <c r="E73" s="149"/>
      <c r="F73" s="149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</row>
    <row r="74" spans="1:21" x14ac:dyDescent="0.25">
      <c r="A74" s="1"/>
      <c r="B74" s="146"/>
      <c r="C74" s="147"/>
      <c r="D74" s="147"/>
      <c r="E74" s="147"/>
      <c r="F74" s="147"/>
      <c r="G74" s="53"/>
      <c r="H74" s="57"/>
      <c r="I74" s="57"/>
      <c r="J74" s="57"/>
      <c r="K74" s="57"/>
      <c r="L74" s="57"/>
      <c r="M74" s="57"/>
      <c r="N74" s="57"/>
      <c r="O74" s="57"/>
      <c r="P74" s="57"/>
    </row>
    <row r="75" spans="1:21" x14ac:dyDescent="0.25">
      <c r="A75" s="1"/>
      <c r="B75" s="146"/>
      <c r="C75" s="147"/>
      <c r="D75" s="147"/>
      <c r="E75" s="147"/>
      <c r="F75" s="147"/>
      <c r="G75" s="55"/>
      <c r="H75" s="57"/>
      <c r="I75" s="57"/>
      <c r="J75" s="57"/>
      <c r="K75" s="57"/>
      <c r="L75" s="57"/>
      <c r="M75" s="57"/>
      <c r="N75" s="57"/>
      <c r="O75" s="57"/>
      <c r="P75" s="57"/>
    </row>
    <row r="79" spans="1:21" x14ac:dyDescent="0.25">
      <c r="B79" s="60"/>
    </row>
    <row r="80" spans="1:21" x14ac:dyDescent="0.25">
      <c r="B80" s="60"/>
    </row>
    <row r="81" spans="2:2" x14ac:dyDescent="0.25">
      <c r="B81" s="60"/>
    </row>
    <row r="82" spans="2:2" x14ac:dyDescent="0.25">
      <c r="B82" s="60"/>
    </row>
    <row r="83" spans="2:2" x14ac:dyDescent="0.25">
      <c r="B83" s="60"/>
    </row>
    <row r="84" spans="2:2" x14ac:dyDescent="0.25">
      <c r="B84" s="60"/>
    </row>
    <row r="85" spans="2:2" x14ac:dyDescent="0.25">
      <c r="B85" s="60"/>
    </row>
    <row r="86" spans="2:2" x14ac:dyDescent="0.25">
      <c r="B86" s="60"/>
    </row>
  </sheetData>
  <mergeCells count="20">
    <mergeCell ref="B74:F74"/>
    <mergeCell ref="B75:F75"/>
    <mergeCell ref="D43:F43"/>
    <mergeCell ref="B69:F69"/>
    <mergeCell ref="B70:F70"/>
    <mergeCell ref="B71:F71"/>
    <mergeCell ref="B72:F72"/>
    <mergeCell ref="B73:F73"/>
    <mergeCell ref="G42:P42"/>
    <mergeCell ref="B1:P1"/>
    <mergeCell ref="G2:P2"/>
    <mergeCell ref="D3:F3"/>
    <mergeCell ref="B29:F29"/>
    <mergeCell ref="B30:F30"/>
    <mergeCell ref="B31:F31"/>
    <mergeCell ref="B32:F32"/>
    <mergeCell ref="B33:F33"/>
    <mergeCell ref="B34:F34"/>
    <mergeCell ref="B35:F35"/>
    <mergeCell ref="B41:P4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8EDCC-8C43-4A28-A623-154852922CDC}">
  <dimension ref="A1:W81"/>
  <sheetViews>
    <sheetView topLeftCell="A52" workbookViewId="0">
      <selection activeCell="D82" sqref="D82"/>
    </sheetView>
  </sheetViews>
  <sheetFormatPr defaultRowHeight="15" x14ac:dyDescent="0.25"/>
  <cols>
    <col min="2" max="2" width="23" customWidth="1"/>
    <col min="3" max="3" width="18.28515625" bestFit="1" customWidth="1"/>
    <col min="4" max="4" width="17.7109375" bestFit="1" customWidth="1"/>
    <col min="5" max="5" width="14.28515625" customWidth="1"/>
    <col min="6" max="6" width="15.140625" customWidth="1"/>
    <col min="7" max="7" width="18.85546875" customWidth="1"/>
    <col min="8" max="8" width="15.28515625" customWidth="1"/>
    <col min="9" max="9" width="13.5703125" customWidth="1"/>
    <col min="10" max="10" width="14.85546875" customWidth="1"/>
    <col min="11" max="11" width="19.28515625" customWidth="1"/>
    <col min="12" max="12" width="16.28515625" customWidth="1"/>
    <col min="13" max="13" width="20.7109375" customWidth="1"/>
    <col min="14" max="14" width="12.7109375" customWidth="1"/>
    <col min="15" max="15" width="13.5703125" customWidth="1"/>
    <col min="16" max="16" width="12.42578125" customWidth="1"/>
    <col min="17" max="17" width="12.140625" customWidth="1"/>
    <col min="22" max="22" width="12.7109375" bestFit="1" customWidth="1"/>
  </cols>
  <sheetData>
    <row r="1" spans="1:23" ht="15.75" thickBot="1" x14ac:dyDescent="0.3">
      <c r="A1" t="s">
        <v>134</v>
      </c>
    </row>
    <row r="2" spans="1:23" ht="15.75" thickBot="1" x14ac:dyDescent="0.3">
      <c r="A2" t="s">
        <v>135</v>
      </c>
      <c r="B2" s="66" t="s">
        <v>116</v>
      </c>
      <c r="C2" s="67" t="s">
        <v>117</v>
      </c>
      <c r="D2" s="67" t="s">
        <v>118</v>
      </c>
      <c r="E2" s="67" t="s">
        <v>119</v>
      </c>
      <c r="F2" s="67" t="s">
        <v>120</v>
      </c>
      <c r="G2" s="68" t="s">
        <v>121</v>
      </c>
      <c r="H2" s="67" t="s">
        <v>122</v>
      </c>
      <c r="I2" s="67" t="s">
        <v>123</v>
      </c>
      <c r="J2" s="67" t="s">
        <v>124</v>
      </c>
      <c r="K2" s="68" t="s">
        <v>125</v>
      </c>
      <c r="L2" s="67" t="s">
        <v>126</v>
      </c>
      <c r="M2" s="67" t="s">
        <v>127</v>
      </c>
      <c r="N2" s="67" t="s">
        <v>128</v>
      </c>
      <c r="O2" s="68" t="s">
        <v>129</v>
      </c>
      <c r="P2" s="67" t="s">
        <v>130</v>
      </c>
      <c r="Q2" s="68" t="s">
        <v>131</v>
      </c>
    </row>
    <row r="3" spans="1:23" x14ac:dyDescent="0.25">
      <c r="B3" t="s">
        <v>176</v>
      </c>
      <c r="C3" s="69">
        <f>'Peanut TF'!G30</f>
        <v>-671500</v>
      </c>
      <c r="D3" s="69">
        <f>'Peanut TF'!H30</f>
        <v>-136833.33333333334</v>
      </c>
      <c r="E3" s="69">
        <f>'Peanut TF'!I30</f>
        <v>-84833.333333333343</v>
      </c>
      <c r="F3" s="69">
        <f>'Peanut TF'!J30</f>
        <v>1615166.6666666667</v>
      </c>
      <c r="G3" s="69">
        <f>'Peanut TF'!K30</f>
        <v>55166.666666666664</v>
      </c>
      <c r="H3" s="69">
        <f>'Peanut TF'!L30</f>
        <v>45166.666666666664</v>
      </c>
      <c r="I3" s="69">
        <f>'Peanut TF'!M30</f>
        <v>55166.666666666664</v>
      </c>
      <c r="J3" s="69">
        <f>'Peanut TF'!N30</f>
        <v>55166.666666666664</v>
      </c>
      <c r="K3" s="69">
        <f>'Peanut TF'!O30</f>
        <v>45166.666666666664</v>
      </c>
      <c r="L3" s="69">
        <f>'Peanut TF'!P30</f>
        <v>55166.666666666664</v>
      </c>
      <c r="M3" s="69">
        <f>'Peanut TF'!Q30</f>
        <v>55166.666666666664</v>
      </c>
      <c r="N3" s="69">
        <f>'Peanut TF'!R30</f>
        <v>45166.666666666664</v>
      </c>
      <c r="O3" s="69">
        <f>'Peanut TF'!S30</f>
        <v>55166.666666666664</v>
      </c>
      <c r="P3" s="69">
        <f>'Peanut TF'!T30</f>
        <v>55166.666666666664</v>
      </c>
      <c r="Q3" s="69">
        <f>'Peanut TF'!U30</f>
        <v>45166.666666666664</v>
      </c>
    </row>
    <row r="4" spans="1:23" x14ac:dyDescent="0.25">
      <c r="B4" t="s">
        <v>177</v>
      </c>
      <c r="C4" s="48">
        <f>'Cassava TF'!G29</f>
        <v>-2644166.6666666665</v>
      </c>
      <c r="D4" s="48">
        <f>'Cassava TF'!H29</f>
        <v>-3564166.6666666665</v>
      </c>
      <c r="E4" s="48">
        <f>'Cassava TF'!I29</f>
        <v>1595833.3333333333</v>
      </c>
      <c r="F4" s="48">
        <f>'Cassava TF'!J29</f>
        <v>1595833.3333333333</v>
      </c>
      <c r="G4" s="48">
        <f>'Cassava TF'!K29</f>
        <v>1595833.3333333333</v>
      </c>
      <c r="H4" s="48">
        <f>'Cassava TF'!L29</f>
        <v>1595833.3333333333</v>
      </c>
      <c r="I4" s="48">
        <f>'Cassava TF'!M29</f>
        <v>1595833.3333333333</v>
      </c>
      <c r="J4" s="48">
        <f>'Cassava TF'!N29</f>
        <v>1595833.3333333333</v>
      </c>
      <c r="K4" s="48">
        <f>'Cassava TF'!O29</f>
        <v>1595833.3333333333</v>
      </c>
      <c r="L4" s="48">
        <f>'Cassava TF'!P29</f>
        <v>1595833.3333333333</v>
      </c>
      <c r="M4" s="48">
        <f>'Cassava TF'!Q29</f>
        <v>1595833.3333333333</v>
      </c>
      <c r="N4" s="48">
        <f>'Cassava TF'!R29</f>
        <v>1595833.3333333333</v>
      </c>
      <c r="O4" s="48">
        <f>'Cassava TF'!S29</f>
        <v>1595833.3333333333</v>
      </c>
      <c r="P4" s="48">
        <f>'Cassava TF'!T29</f>
        <v>595833.33333333337</v>
      </c>
      <c r="Q4" s="48">
        <f>'Cassava TF'!U29</f>
        <v>1595833.3333333333</v>
      </c>
    </row>
    <row r="5" spans="1:23" x14ac:dyDescent="0.25">
      <c r="B5" t="s">
        <v>178</v>
      </c>
      <c r="C5">
        <f>'Cassava processing TF'!G31</f>
        <v>-6470810</v>
      </c>
      <c r="D5">
        <f>'Cassava processing TF'!H31</f>
        <v>-6356119</v>
      </c>
      <c r="E5">
        <f>'Cassava processing TF'!I31</f>
        <v>-2817355</v>
      </c>
      <c r="F5">
        <f>'Cassava processing TF'!J31</f>
        <v>-407081.25</v>
      </c>
      <c r="G5">
        <f>'Cassava processing TF'!K31</f>
        <v>7449893.75</v>
      </c>
      <c r="H5">
        <f>'Cassava processing TF'!L31</f>
        <v>2950193.75</v>
      </c>
      <c r="I5">
        <f>'Cassava processing TF'!M31</f>
        <v>2960193.75</v>
      </c>
      <c r="J5">
        <f>'Cassava processing TF'!N31</f>
        <v>2960193.75</v>
      </c>
      <c r="K5">
        <f>'Cassava processing TF'!O31</f>
        <v>2950193.75</v>
      </c>
      <c r="L5">
        <f>'Cassava processing TF'!P31</f>
        <v>2960193.75</v>
      </c>
      <c r="M5">
        <f>'Cassava processing TF'!Q31</f>
        <v>2960193.75</v>
      </c>
      <c r="N5">
        <f>'Cassava processing TF'!R31</f>
        <v>2950193.75</v>
      </c>
      <c r="O5">
        <f>'Cassava processing TF'!S31</f>
        <v>2960193.75</v>
      </c>
      <c r="P5">
        <f>'Cassava processing TF'!T31</f>
        <v>2960193.75</v>
      </c>
      <c r="Q5">
        <f>'Cassava processing TF'!U31</f>
        <v>2950193.75</v>
      </c>
    </row>
    <row r="6" spans="1:23" x14ac:dyDescent="0.25">
      <c r="B6" t="s">
        <v>179</v>
      </c>
      <c r="C6">
        <f>'cattle breeding TF'!G30</f>
        <v>-3386333.3333333335</v>
      </c>
      <c r="D6">
        <f>'cattle breeding TF'!H30</f>
        <v>-121333.33333333334</v>
      </c>
      <c r="E6">
        <f>'cattle breeding TF'!I30</f>
        <v>466666.66666666669</v>
      </c>
      <c r="F6">
        <f>'cattle breeding TF'!J30</f>
        <v>1254666.6666666667</v>
      </c>
      <c r="G6">
        <f>'cattle breeding TF'!K30</f>
        <v>1254666.6666666667</v>
      </c>
      <c r="H6">
        <f>'cattle breeding TF'!L30</f>
        <v>1254666.6666666667</v>
      </c>
      <c r="I6">
        <f>'cattle breeding TF'!M30</f>
        <v>1254666.6666666667</v>
      </c>
      <c r="J6">
        <f>'cattle breeding TF'!N30</f>
        <v>1254666.6666666667</v>
      </c>
      <c r="K6">
        <f>'cattle breeding TF'!O30</f>
        <v>1254666.6666666667</v>
      </c>
      <c r="L6">
        <f>'cattle breeding TF'!P30</f>
        <v>1254666.6666666667</v>
      </c>
      <c r="M6">
        <f>'cattle breeding TF'!Q30</f>
        <v>1254666.6666666667</v>
      </c>
      <c r="N6">
        <f>'cattle breeding TF'!R30</f>
        <v>1254666.6666666667</v>
      </c>
      <c r="O6">
        <f>'cattle breeding TF'!S30</f>
        <v>1254666.6666666667</v>
      </c>
      <c r="P6">
        <f>'cattle breeding TF'!T30</f>
        <v>1254666.6666666667</v>
      </c>
      <c r="Q6">
        <f>'cattle breeding TF'!U30</f>
        <v>1254666.6666666667</v>
      </c>
      <c r="R6" s="48">
        <f>'External Shading (Awnings, Over'!V30</f>
        <v>0</v>
      </c>
      <c r="S6" s="48">
        <f>'External Shading (Awnings, Over'!W30</f>
        <v>0</v>
      </c>
    </row>
    <row r="7" spans="1:23" x14ac:dyDescent="0.25">
      <c r="B7" t="s">
        <v>180</v>
      </c>
      <c r="C7">
        <f>'Poutry breeding TF'!G28</f>
        <v>-3920550</v>
      </c>
      <c r="D7">
        <f>'Poutry breeding TF'!H28</f>
        <v>-3920550</v>
      </c>
      <c r="E7">
        <f>'Poutry breeding TF'!I28</f>
        <v>-3920550</v>
      </c>
      <c r="F7">
        <f>'Poutry breeding TF'!J28</f>
        <v>-3920550</v>
      </c>
      <c r="G7">
        <f>'Poutry breeding TF'!K28</f>
        <v>-1841970</v>
      </c>
      <c r="H7">
        <f>'Poutry breeding TF'!L28</f>
        <v>-1121970</v>
      </c>
      <c r="I7">
        <f>'Poutry breeding TF'!M28</f>
        <v>-257970</v>
      </c>
      <c r="J7">
        <f>'Poutry breeding TF'!N28</f>
        <v>778830</v>
      </c>
      <c r="K7">
        <f>'Poutry breeding TF'!O28</f>
        <v>2022990</v>
      </c>
      <c r="L7">
        <f>'Poutry breeding TF'!P28</f>
        <v>3515982</v>
      </c>
      <c r="M7">
        <f>'Poutry breeding TF'!Q28</f>
        <v>5307572.4000000004</v>
      </c>
      <c r="N7">
        <f>'Poutry breeding TF'!R28</f>
        <v>7457480.8800000008</v>
      </c>
      <c r="O7">
        <f>'Poutry breeding TF'!S28</f>
        <v>10037371.056</v>
      </c>
      <c r="P7">
        <f>'Poutry breeding TF'!T28</f>
        <v>13133239.267200001</v>
      </c>
      <c r="Q7">
        <f>'Poutry breeding TF'!U28</f>
        <v>16858991.120639998</v>
      </c>
    </row>
    <row r="8" spans="1:23" x14ac:dyDescent="0.25">
      <c r="B8" t="s">
        <v>181</v>
      </c>
      <c r="C8">
        <f>GH!D17</f>
        <v>-400000</v>
      </c>
      <c r="D8">
        <f>GH!E17</f>
        <v>-450000</v>
      </c>
      <c r="E8">
        <f>GH!F17</f>
        <v>-450000</v>
      </c>
      <c r="F8">
        <f>GH!G17</f>
        <v>-450000</v>
      </c>
      <c r="G8">
        <f>GH!H17</f>
        <v>420000</v>
      </c>
      <c r="H8">
        <f>GH!I17</f>
        <v>420000</v>
      </c>
      <c r="I8">
        <f>GH!J17</f>
        <v>420000</v>
      </c>
      <c r="J8">
        <f>GH!K17</f>
        <v>420000</v>
      </c>
      <c r="K8">
        <f>GH!L17</f>
        <v>420000</v>
      </c>
      <c r="L8">
        <f>GH!M17</f>
        <v>420000</v>
      </c>
      <c r="M8">
        <f>GH!N17</f>
        <v>420000</v>
      </c>
      <c r="N8">
        <f>GH!O17</f>
        <v>420000</v>
      </c>
      <c r="O8">
        <f>GH!P17</f>
        <v>420000</v>
      </c>
      <c r="P8">
        <f>GH!Q17</f>
        <v>420000</v>
      </c>
      <c r="Q8">
        <f>GH!R17</f>
        <v>420000</v>
      </c>
    </row>
    <row r="9" spans="1:23" x14ac:dyDescent="0.25">
      <c r="B9" t="s">
        <v>132</v>
      </c>
      <c r="C9">
        <f t="shared" ref="C9:Q9" si="0">SUM(C3:C8)</f>
        <v>-17493360</v>
      </c>
      <c r="D9">
        <f t="shared" si="0"/>
        <v>-14549002.333333334</v>
      </c>
      <c r="E9">
        <f t="shared" si="0"/>
        <v>-5210238.333333333</v>
      </c>
      <c r="F9">
        <f t="shared" si="0"/>
        <v>-311964.58333333302</v>
      </c>
      <c r="G9">
        <f t="shared" si="0"/>
        <v>8933590.416666666</v>
      </c>
      <c r="H9">
        <f t="shared" si="0"/>
        <v>5143890.416666667</v>
      </c>
      <c r="I9">
        <f t="shared" si="0"/>
        <v>6027890.416666667</v>
      </c>
      <c r="J9">
        <f t="shared" si="0"/>
        <v>7064690.416666667</v>
      </c>
      <c r="K9">
        <f t="shared" si="0"/>
        <v>8288850.416666667</v>
      </c>
      <c r="L9">
        <f t="shared" si="0"/>
        <v>9801842.4166666679</v>
      </c>
      <c r="M9">
        <f t="shared" si="0"/>
        <v>11593432.816666666</v>
      </c>
      <c r="N9">
        <f t="shared" si="0"/>
        <v>13723341.296666667</v>
      </c>
      <c r="O9">
        <f t="shared" si="0"/>
        <v>16323231.472666666</v>
      </c>
      <c r="P9">
        <f t="shared" si="0"/>
        <v>18419099.683866668</v>
      </c>
      <c r="Q9">
        <f t="shared" si="0"/>
        <v>23124851.537306666</v>
      </c>
    </row>
    <row r="10" spans="1:23" x14ac:dyDescent="0.25">
      <c r="B10" t="s">
        <v>136</v>
      </c>
      <c r="C10">
        <f>Summary!B11</f>
        <v>28836176.666666672</v>
      </c>
      <c r="T10" t="s">
        <v>136</v>
      </c>
      <c r="V10">
        <v>10</v>
      </c>
      <c r="W10" t="s">
        <v>137</v>
      </c>
    </row>
    <row r="11" spans="1:23" x14ac:dyDescent="0.25">
      <c r="B11" t="s">
        <v>138</v>
      </c>
      <c r="C11" s="13">
        <f>V13</f>
        <v>2299000000</v>
      </c>
      <c r="U11" t="s">
        <v>133</v>
      </c>
      <c r="V11">
        <f>10000000</f>
        <v>10000000</v>
      </c>
    </row>
    <row r="12" spans="1:23" ht="30" x14ac:dyDescent="0.25">
      <c r="B12" s="123" t="s">
        <v>199</v>
      </c>
      <c r="C12" s="13">
        <f>'Additional financing total'!C13</f>
        <v>-1331167802.758872</v>
      </c>
      <c r="D12">
        <f>'Additional financing total'!D13</f>
        <v>342389661.45881802</v>
      </c>
      <c r="E12">
        <f>'Additional financing total'!E13</f>
        <v>182937177.40897915</v>
      </c>
      <c r="F12">
        <f>'Additional financing total'!F13</f>
        <v>-81488191.97367008</v>
      </c>
      <c r="G12">
        <f>'Additional financing total'!G13</f>
        <v>119643576.88195598</v>
      </c>
      <c r="H12">
        <f>'Additional financing total'!H13</f>
        <v>165884797.25640923</v>
      </c>
      <c r="I12">
        <f>'Additional financing total'!I13</f>
        <v>224882216.35484958</v>
      </c>
      <c r="J12">
        <f>'Additional financing total'!J13</f>
        <v>293765689.46437991</v>
      </c>
      <c r="K12">
        <f>'Additional financing total'!K13</f>
        <v>374831332.35531783</v>
      </c>
      <c r="L12">
        <f>'Additional financing total'!L13</f>
        <v>475618058.47353995</v>
      </c>
      <c r="M12">
        <f>'Additional financing total'!M13</f>
        <v>594648700.0068084</v>
      </c>
      <c r="N12">
        <f>'Additional financing total'!N13</f>
        <v>735890945.00623214</v>
      </c>
      <c r="O12">
        <f>'Additional financing total'!O13</f>
        <v>908889593.6546371</v>
      </c>
      <c r="P12">
        <f>'Additional financing total'!P13</f>
        <v>1034848300.1992055</v>
      </c>
      <c r="Q12">
        <f>'Additional financing total'!Q13</f>
        <v>1360655823.7190986</v>
      </c>
    </row>
    <row r="13" spans="1:23" ht="30" x14ac:dyDescent="0.25">
      <c r="B13" s="123" t="s">
        <v>197</v>
      </c>
      <c r="C13">
        <f>C9*($C$11/$C$10)</f>
        <v>-1394679853.1890435</v>
      </c>
      <c r="D13">
        <f>-(D9*($C$11/$C$10))</f>
        <v>1159937281.24845</v>
      </c>
      <c r="E13" s="18">
        <f>E9*($C$11/$C$10)</f>
        <v>-415392722.37084585</v>
      </c>
      <c r="F13" s="18">
        <f>(F9*($C$11/$C$10))</f>
        <v>-24871763.874036435</v>
      </c>
      <c r="G13">
        <f>-(G9*($C$11/$C$10))</f>
        <v>-712241591.71066689</v>
      </c>
      <c r="H13">
        <f>-(H9*($C$11/$C$10))</f>
        <v>-410103052.30883002</v>
      </c>
      <c r="I13">
        <f t="shared" ref="I13:Q13" si="1">I9*($C$11/$C$10)</f>
        <v>480581050.2588588</v>
      </c>
      <c r="J13">
        <f t="shared" si="1"/>
        <v>563241217.99029517</v>
      </c>
      <c r="K13">
        <f t="shared" si="1"/>
        <v>660838894.42752051</v>
      </c>
      <c r="L13">
        <f t="shared" si="1"/>
        <v>781464060.80128741</v>
      </c>
      <c r="M13">
        <f t="shared" si="1"/>
        <v>924300830.64120936</v>
      </c>
      <c r="N13">
        <f t="shared" si="1"/>
        <v>1094110429.6086175</v>
      </c>
      <c r="O13">
        <f t="shared" si="1"/>
        <v>1301389903.0186036</v>
      </c>
      <c r="P13">
        <f t="shared" si="1"/>
        <v>1468485599.2770698</v>
      </c>
      <c r="Q13">
        <f t="shared" si="1"/>
        <v>1843657510.45364</v>
      </c>
      <c r="U13" t="s">
        <v>40</v>
      </c>
      <c r="V13" s="72">
        <v>2299000000</v>
      </c>
    </row>
    <row r="14" spans="1:23" x14ac:dyDescent="0.25">
      <c r="B14" t="s">
        <v>202</v>
      </c>
      <c r="C14" s="16">
        <f>IRR(C13:Q13)</f>
        <v>0.21194584138598493</v>
      </c>
    </row>
    <row r="15" spans="1:23" x14ac:dyDescent="0.25">
      <c r="B15" t="s">
        <v>203</v>
      </c>
      <c r="C15" s="13">
        <f>NPV(0.1,C13:Q13)</f>
        <v>1656437338.7765203</v>
      </c>
    </row>
    <row r="16" spans="1:23" x14ac:dyDescent="0.25">
      <c r="D16" s="13"/>
      <c r="G16" s="18"/>
      <c r="H16" s="18"/>
      <c r="I16" s="18"/>
    </row>
    <row r="17" spans="2:17" x14ac:dyDescent="0.25">
      <c r="C17" s="28"/>
    </row>
    <row r="18" spans="2:17" x14ac:dyDescent="0.25">
      <c r="C18" s="31">
        <f>V13</f>
        <v>2299000000</v>
      </c>
    </row>
    <row r="19" spans="2:17" ht="30" x14ac:dyDescent="0.25">
      <c r="B19" s="123" t="s">
        <v>200</v>
      </c>
      <c r="C19" s="14">
        <f>C12+C13</f>
        <v>-2725847655.9479156</v>
      </c>
      <c r="D19" s="14">
        <f>(D12+D13)</f>
        <v>1502326942.707268</v>
      </c>
      <c r="E19" s="14">
        <f>-(E12+E13)</f>
        <v>232455544.96186671</v>
      </c>
      <c r="F19" s="14">
        <f t="shared" ref="F19:Q19" si="2">F12+F13</f>
        <v>-106359955.84770651</v>
      </c>
      <c r="G19" s="14">
        <f t="shared" si="2"/>
        <v>-592598014.82871091</v>
      </c>
      <c r="H19" s="14">
        <f t="shared" si="2"/>
        <v>-244218255.05242079</v>
      </c>
      <c r="I19" s="14">
        <f t="shared" si="2"/>
        <v>705463266.61370838</v>
      </c>
      <c r="J19" s="14">
        <f t="shared" si="2"/>
        <v>857006907.45467508</v>
      </c>
      <c r="K19" s="14">
        <f t="shared" si="2"/>
        <v>1035670226.7828383</v>
      </c>
      <c r="L19" s="14">
        <f t="shared" si="2"/>
        <v>1257082119.2748275</v>
      </c>
      <c r="M19" s="14">
        <f t="shared" si="2"/>
        <v>1518949530.6480179</v>
      </c>
      <c r="N19" s="14">
        <f t="shared" si="2"/>
        <v>1830001374.6148496</v>
      </c>
      <c r="O19" s="14">
        <f t="shared" si="2"/>
        <v>2210279496.6732407</v>
      </c>
      <c r="P19" s="14">
        <f t="shared" si="2"/>
        <v>2503333899.4762754</v>
      </c>
      <c r="Q19" s="14">
        <f t="shared" si="2"/>
        <v>3204313334.1727386</v>
      </c>
    </row>
    <row r="20" spans="2:17" x14ac:dyDescent="0.25">
      <c r="B20" t="s">
        <v>52</v>
      </c>
      <c r="C20" s="8">
        <f>IRR(C19:Q19)</f>
        <v>0.22667940545633702</v>
      </c>
    </row>
    <row r="21" spans="2:17" x14ac:dyDescent="0.25">
      <c r="B21" t="s">
        <v>53</v>
      </c>
      <c r="C21" s="125"/>
    </row>
    <row r="22" spans="2:17" x14ac:dyDescent="0.25">
      <c r="C22" s="13"/>
    </row>
    <row r="23" spans="2:17" ht="30" x14ac:dyDescent="0.25">
      <c r="B23" s="123" t="s">
        <v>208</v>
      </c>
      <c r="C23" s="14">
        <f>C19</f>
        <v>-2725847655.9479156</v>
      </c>
      <c r="D23" s="75">
        <f>D19*0.9</f>
        <v>1352094248.4365413</v>
      </c>
      <c r="E23" s="75">
        <f>E19*0.9</f>
        <v>209209990.46568003</v>
      </c>
      <c r="F23" s="75">
        <f t="shared" ref="F23:Q23" si="3">F19*0.9</f>
        <v>-95723960.262935862</v>
      </c>
      <c r="G23" s="75">
        <f t="shared" si="3"/>
        <v>-533338213.34583986</v>
      </c>
      <c r="H23" s="75">
        <f t="shared" si="3"/>
        <v>-219796429.54717872</v>
      </c>
      <c r="I23" s="75">
        <f t="shared" si="3"/>
        <v>634916939.9523375</v>
      </c>
      <c r="J23" s="75">
        <f t="shared" si="3"/>
        <v>771306216.70920753</v>
      </c>
      <c r="K23" s="75">
        <f t="shared" si="3"/>
        <v>932103204.10455453</v>
      </c>
      <c r="L23" s="75">
        <f t="shared" si="3"/>
        <v>1131373907.3473449</v>
      </c>
      <c r="M23" s="75">
        <f t="shared" si="3"/>
        <v>1367054577.5832162</v>
      </c>
      <c r="N23" s="75">
        <f t="shared" si="3"/>
        <v>1647001237.1533647</v>
      </c>
      <c r="O23" s="75">
        <f t="shared" si="3"/>
        <v>1989251547.0059166</v>
      </c>
      <c r="P23" s="75">
        <f t="shared" si="3"/>
        <v>2253000509.5286479</v>
      </c>
      <c r="Q23" s="75">
        <f t="shared" si="3"/>
        <v>2883882000.7554646</v>
      </c>
    </row>
    <row r="24" spans="2:17" ht="30" x14ac:dyDescent="0.25">
      <c r="B24" s="123" t="s">
        <v>209</v>
      </c>
      <c r="C24" s="14">
        <f>NPV(0.1,C23:Q23)</f>
        <v>2656899345.5693913</v>
      </c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</row>
    <row r="25" spans="2:17" ht="30" x14ac:dyDescent="0.25">
      <c r="B25" s="123" t="s">
        <v>210</v>
      </c>
      <c r="C25" s="8">
        <f>IRR(C23:Q23)</f>
        <v>0.20700349100520499</v>
      </c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</row>
    <row r="26" spans="2:17" x14ac:dyDescent="0.25">
      <c r="B26" s="123"/>
      <c r="C26" s="8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</row>
    <row r="27" spans="2:17" x14ac:dyDescent="0.25">
      <c r="B27" s="123"/>
      <c r="C27" s="8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</row>
    <row r="28" spans="2:17" ht="30" x14ac:dyDescent="0.25">
      <c r="B28" s="123" t="s">
        <v>211</v>
      </c>
      <c r="C28" s="126">
        <f>C19</f>
        <v>-2725847655.9479156</v>
      </c>
      <c r="D28" s="126"/>
      <c r="E28" s="126"/>
      <c r="F28" s="126">
        <f>-(F19)</f>
        <v>106359955.84770651</v>
      </c>
      <c r="G28" s="126">
        <f t="shared" ref="G28:Q28" si="4">G19</f>
        <v>-592598014.82871091</v>
      </c>
      <c r="H28" s="126">
        <f t="shared" si="4"/>
        <v>-244218255.05242079</v>
      </c>
      <c r="I28" s="126">
        <f t="shared" si="4"/>
        <v>705463266.61370838</v>
      </c>
      <c r="J28" s="126">
        <f t="shared" si="4"/>
        <v>857006907.45467508</v>
      </c>
      <c r="K28" s="126">
        <f t="shared" si="4"/>
        <v>1035670226.7828383</v>
      </c>
      <c r="L28" s="126">
        <f t="shared" si="4"/>
        <v>1257082119.2748275</v>
      </c>
      <c r="M28" s="126">
        <f t="shared" si="4"/>
        <v>1518949530.6480179</v>
      </c>
      <c r="N28" s="126">
        <f t="shared" si="4"/>
        <v>1830001374.6148496</v>
      </c>
      <c r="O28" s="126">
        <f t="shared" si="4"/>
        <v>2210279496.6732407</v>
      </c>
      <c r="P28" s="126">
        <f t="shared" si="4"/>
        <v>2503333899.4762754</v>
      </c>
      <c r="Q28" s="126">
        <f t="shared" si="4"/>
        <v>3204313334.1727386</v>
      </c>
    </row>
    <row r="29" spans="2:17" x14ac:dyDescent="0.25">
      <c r="B29" s="123"/>
      <c r="C29" s="8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</row>
    <row r="30" spans="2:17" ht="30" x14ac:dyDescent="0.25">
      <c r="B30" s="123" t="s">
        <v>212</v>
      </c>
      <c r="C30" s="127">
        <f>NPV(0.1,C28:Q28)</f>
        <v>2887753235.0154223</v>
      </c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</row>
    <row r="31" spans="2:17" x14ac:dyDescent="0.25">
      <c r="B31" s="123"/>
      <c r="C31" s="127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</row>
    <row r="32" spans="2:17" ht="30" x14ac:dyDescent="0.25">
      <c r="B32" s="123" t="s">
        <v>213</v>
      </c>
      <c r="C32" s="8">
        <f>IRR(C28:Q28)</f>
        <v>0.19770047796663959</v>
      </c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</row>
    <row r="33" spans="1:17" x14ac:dyDescent="0.25">
      <c r="B33" s="123"/>
      <c r="C33" s="8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</row>
    <row r="34" spans="1:17" ht="30" x14ac:dyDescent="0.25">
      <c r="B34" s="123" t="s">
        <v>214</v>
      </c>
      <c r="C34" s="126">
        <f>C19*1.1</f>
        <v>-2998432421.5427074</v>
      </c>
      <c r="D34" s="126">
        <f>D19</f>
        <v>1502326942.707268</v>
      </c>
      <c r="E34" s="126">
        <f>E19</f>
        <v>232455544.96186671</v>
      </c>
      <c r="F34" s="126">
        <f t="shared" ref="F34:Q34" si="5">F19*1.1</f>
        <v>-116995951.43247718</v>
      </c>
      <c r="G34" s="126">
        <f t="shared" si="5"/>
        <v>-651857816.31158209</v>
      </c>
      <c r="H34" s="126">
        <f t="shared" si="5"/>
        <v>-268640080.5576629</v>
      </c>
      <c r="I34" s="126">
        <f t="shared" si="5"/>
        <v>776009593.27507925</v>
      </c>
      <c r="J34" s="126">
        <f t="shared" si="5"/>
        <v>942707598.20014262</v>
      </c>
      <c r="K34" s="126">
        <f t="shared" si="5"/>
        <v>1139237249.4611223</v>
      </c>
      <c r="L34" s="126">
        <f t="shared" si="5"/>
        <v>1382790331.2023103</v>
      </c>
      <c r="M34" s="126">
        <f t="shared" si="5"/>
        <v>1670844483.7128198</v>
      </c>
      <c r="N34" s="126">
        <f t="shared" si="5"/>
        <v>2013001512.0763347</v>
      </c>
      <c r="O34" s="126">
        <f t="shared" si="5"/>
        <v>2431307446.3405647</v>
      </c>
      <c r="P34" s="126">
        <f t="shared" si="5"/>
        <v>2753667289.423903</v>
      </c>
      <c r="Q34" s="126">
        <f t="shared" si="5"/>
        <v>3524744667.5900126</v>
      </c>
    </row>
    <row r="35" spans="1:17" x14ac:dyDescent="0.25">
      <c r="B35" s="123"/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26"/>
      <c r="P35" s="126"/>
      <c r="Q35" s="126"/>
    </row>
    <row r="36" spans="1:17" x14ac:dyDescent="0.25">
      <c r="B36" s="123" t="s">
        <v>216</v>
      </c>
      <c r="C36" s="8">
        <v>0.2</v>
      </c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</row>
    <row r="37" spans="1:17" x14ac:dyDescent="0.25">
      <c r="B37" s="123" t="s">
        <v>215</v>
      </c>
      <c r="C37" s="125">
        <f>NPV(0.1,C34:Q34)</f>
        <v>3408569403.5230203</v>
      </c>
    </row>
    <row r="38" spans="1:17" ht="15.75" thickBot="1" x14ac:dyDescent="0.3">
      <c r="A38" t="s">
        <v>139</v>
      </c>
    </row>
    <row r="39" spans="1:17" ht="15.75" thickBot="1" x14ac:dyDescent="0.3">
      <c r="A39" t="s">
        <v>135</v>
      </c>
      <c r="B39" s="66" t="s">
        <v>116</v>
      </c>
      <c r="C39" s="67" t="s">
        <v>117</v>
      </c>
      <c r="D39" s="67" t="s">
        <v>118</v>
      </c>
      <c r="E39" s="67" t="s">
        <v>119</v>
      </c>
      <c r="F39" s="67" t="s">
        <v>120</v>
      </c>
      <c r="G39" s="68" t="s">
        <v>121</v>
      </c>
      <c r="H39" s="67" t="s">
        <v>122</v>
      </c>
      <c r="I39" s="67" t="s">
        <v>123</v>
      </c>
      <c r="J39" s="67" t="s">
        <v>124</v>
      </c>
      <c r="K39" s="68" t="s">
        <v>125</v>
      </c>
      <c r="L39" s="67" t="s">
        <v>126</v>
      </c>
      <c r="M39" s="67" t="s">
        <v>127</v>
      </c>
      <c r="N39" s="67" t="s">
        <v>128</v>
      </c>
      <c r="O39" s="68" t="s">
        <v>129</v>
      </c>
      <c r="P39" s="67" t="s">
        <v>130</v>
      </c>
      <c r="Q39" s="68" t="s">
        <v>131</v>
      </c>
    </row>
    <row r="40" spans="1:17" x14ac:dyDescent="0.25">
      <c r="B40" t="s">
        <v>182</v>
      </c>
      <c r="C40">
        <f>'Peanut TF'!G64</f>
        <v>-753790</v>
      </c>
      <c r="D40">
        <f>'Peanut TF'!H64</f>
        <v>-83590</v>
      </c>
      <c r="E40">
        <f>'Peanut TF'!I64</f>
        <v>-36790</v>
      </c>
      <c r="F40">
        <f>'Peanut TF'!J64</f>
        <v>1484210</v>
      </c>
      <c r="G40">
        <f>'Peanut TF'!K64</f>
        <v>80210</v>
      </c>
      <c r="H40">
        <f>'Peanut TF'!L64</f>
        <v>80210</v>
      </c>
      <c r="I40">
        <f>'Peanut TF'!M64</f>
        <v>80210</v>
      </c>
      <c r="J40">
        <f>'Peanut TF'!N64</f>
        <v>80210</v>
      </c>
      <c r="K40">
        <f>'Peanut TF'!O64</f>
        <v>80210</v>
      </c>
      <c r="L40">
        <f>'Peanut TF'!P64</f>
        <v>80210</v>
      </c>
      <c r="M40">
        <f>'Peanut TF'!Q64</f>
        <v>80210</v>
      </c>
      <c r="N40">
        <f>'Peanut TF'!R64</f>
        <v>80210</v>
      </c>
      <c r="O40">
        <f>'Peanut TF'!S64</f>
        <v>80210</v>
      </c>
      <c r="P40">
        <f>'Peanut TF'!T64</f>
        <v>80210</v>
      </c>
      <c r="Q40">
        <f>'Peanut TF'!U64</f>
        <v>80210</v>
      </c>
    </row>
    <row r="41" spans="1:17" x14ac:dyDescent="0.25">
      <c r="B41" t="s">
        <v>183</v>
      </c>
      <c r="C41">
        <f>'Cassava TF'!G66</f>
        <v>-2344800</v>
      </c>
      <c r="D41">
        <f>'Cassava TF'!H66</f>
        <v>-2286950</v>
      </c>
      <c r="E41">
        <f>'Cassava TF'!I66</f>
        <v>-1540250</v>
      </c>
      <c r="F41">
        <f>'Cassava TF'!J66</f>
        <v>1540250</v>
      </c>
      <c r="G41">
        <f>'Cassava TF'!K66</f>
        <v>1540250</v>
      </c>
      <c r="H41">
        <f>'Cassava TF'!L66</f>
        <v>1540250</v>
      </c>
      <c r="I41">
        <f>'Cassava TF'!M66</f>
        <v>1540250</v>
      </c>
      <c r="J41">
        <f>'Cassava TF'!N66</f>
        <v>1540250</v>
      </c>
      <c r="K41">
        <f>'Cassava TF'!O66</f>
        <v>1540250</v>
      </c>
      <c r="L41">
        <f>'Cassava TF'!P66</f>
        <v>1540250</v>
      </c>
      <c r="M41">
        <f>'Cassava TF'!Q66</f>
        <v>1540250</v>
      </c>
      <c r="N41">
        <f>'Cassava TF'!R66</f>
        <v>1540250</v>
      </c>
      <c r="O41">
        <f>'Cassava TF'!S66</f>
        <v>1540250</v>
      </c>
      <c r="P41">
        <f>'Cassava TF'!T66</f>
        <v>1540250</v>
      </c>
      <c r="Q41">
        <f>'Cassava TF'!U66</f>
        <v>1540250</v>
      </c>
    </row>
    <row r="42" spans="1:17" x14ac:dyDescent="0.25">
      <c r="B42" t="s">
        <v>142</v>
      </c>
      <c r="C42">
        <f>'Cassava processing TF'!G65</f>
        <v>-5241229</v>
      </c>
      <c r="D42">
        <f>'Cassava processing TF'!H65</f>
        <v>-2102007.1</v>
      </c>
      <c r="E42">
        <f>'Cassava processing TF'!I65</f>
        <v>-1567774</v>
      </c>
      <c r="F42">
        <f>'Cassava processing TF'!J65</f>
        <v>183209</v>
      </c>
      <c r="G42">
        <f>'Cassava processing TF'!K65</f>
        <v>7254486.5</v>
      </c>
      <c r="H42">
        <f>'Cassava processing TF'!L65</f>
        <v>3213756.5</v>
      </c>
      <c r="I42">
        <f>'Cassava processing TF'!M65</f>
        <v>3213756.5</v>
      </c>
      <c r="J42">
        <f>'Cassava processing TF'!N65</f>
        <v>3213756.5</v>
      </c>
      <c r="K42">
        <f>'Cassava processing TF'!O65</f>
        <v>2607647</v>
      </c>
      <c r="L42">
        <f>'Cassava processing TF'!P65</f>
        <v>2607647</v>
      </c>
      <c r="M42">
        <f>'Cassava processing TF'!Q65</f>
        <v>2607647</v>
      </c>
      <c r="N42">
        <f>'Cassava processing TF'!R65</f>
        <v>2597647</v>
      </c>
      <c r="O42">
        <f>'Cassava processing TF'!S65</f>
        <v>2607647</v>
      </c>
      <c r="P42">
        <f>'Cassava processing TF'!T65</f>
        <v>2607647</v>
      </c>
      <c r="Q42">
        <f>'Cassava processing TF'!U65</f>
        <v>2597647</v>
      </c>
    </row>
    <row r="43" spans="1:17" x14ac:dyDescent="0.25">
      <c r="B43" t="s">
        <v>184</v>
      </c>
      <c r="C43">
        <f>'cattle breeding TF'!G63</f>
        <v>-3021000</v>
      </c>
      <c r="D43">
        <f>'cattle breeding TF'!H63</f>
        <v>-1776000</v>
      </c>
      <c r="E43">
        <f>'cattle breeding TF'!I63</f>
        <v>-1776000</v>
      </c>
      <c r="F43">
        <f>'cattle breeding TF'!J63</f>
        <v>1776000</v>
      </c>
      <c r="G43">
        <f>'cattle breeding TF'!K63</f>
        <v>1956000</v>
      </c>
      <c r="H43">
        <f>'cattle breeding TF'!L63</f>
        <v>1776000</v>
      </c>
      <c r="I43">
        <f>'cattle breeding TF'!M63</f>
        <v>1776000</v>
      </c>
      <c r="J43">
        <f>'cattle breeding TF'!N63</f>
        <v>1776000</v>
      </c>
      <c r="K43">
        <f>'cattle breeding TF'!O63</f>
        <v>1776000</v>
      </c>
      <c r="L43">
        <f>'cattle breeding TF'!P63</f>
        <v>1956000</v>
      </c>
      <c r="M43">
        <f>'cattle breeding TF'!Q63</f>
        <v>1776000</v>
      </c>
      <c r="N43">
        <f>'cattle breeding TF'!R63</f>
        <v>1776000</v>
      </c>
      <c r="O43">
        <f>'cattle breeding TF'!S63</f>
        <v>1776000</v>
      </c>
      <c r="P43">
        <f>'cattle breeding TF'!T63</f>
        <v>1776000</v>
      </c>
      <c r="Q43">
        <f>'cattle breeding TF'!U63</f>
        <v>1956000</v>
      </c>
    </row>
    <row r="44" spans="1:17" x14ac:dyDescent="0.25">
      <c r="B44" t="s">
        <v>185</v>
      </c>
      <c r="C44">
        <f>'Poutry breeding TF'!G68</f>
        <v>-2150639</v>
      </c>
      <c r="D44">
        <f>'Poutry breeding TF'!H68</f>
        <v>-2150639</v>
      </c>
      <c r="E44">
        <f>'Poutry breeding TF'!I68</f>
        <v>-2150639</v>
      </c>
      <c r="F44">
        <f>'Poutry breeding TF'!J68</f>
        <v>2150639</v>
      </c>
      <c r="G44">
        <f>'Poutry breeding TF'!K68</f>
        <v>-2150639</v>
      </c>
      <c r="H44">
        <f>'Poutry breeding TF'!L68</f>
        <v>2150639</v>
      </c>
      <c r="I44">
        <f>'Poutry breeding TF'!M68</f>
        <v>2150639</v>
      </c>
      <c r="J44">
        <f>'Poutry breeding TF'!N68</f>
        <v>2150639</v>
      </c>
      <c r="K44">
        <f>'Poutry breeding TF'!O68</f>
        <v>2150639</v>
      </c>
      <c r="L44">
        <f>'Poutry breeding TF'!P68</f>
        <v>2150639</v>
      </c>
      <c r="M44">
        <f>'Poutry breeding TF'!Q68</f>
        <v>2150639</v>
      </c>
      <c r="N44">
        <f>'Poutry breeding TF'!R68</f>
        <v>2150639</v>
      </c>
      <c r="O44">
        <f>'Poutry breeding TF'!S68</f>
        <v>2150639</v>
      </c>
      <c r="P44">
        <f>'Poutry breeding TF'!T68</f>
        <v>2150639</v>
      </c>
      <c r="Q44">
        <f>'Poutry breeding TF'!U68</f>
        <v>2150639</v>
      </c>
    </row>
    <row r="45" spans="1:17" x14ac:dyDescent="0.25">
      <c r="B45" t="s">
        <v>181</v>
      </c>
      <c r="C45">
        <f>-(GH!D26)</f>
        <v>-400000</v>
      </c>
      <c r="D45">
        <f>-(GH!E26)</f>
        <v>-1350000</v>
      </c>
      <c r="E45">
        <f>-(GH!F26)</f>
        <v>-1350000</v>
      </c>
      <c r="F45">
        <f>-(GH!G26)</f>
        <v>-1350000</v>
      </c>
      <c r="G45">
        <f>GH!H26</f>
        <v>-1350000</v>
      </c>
      <c r="H45">
        <f>GH!I26</f>
        <v>-1350000</v>
      </c>
      <c r="I45">
        <f>GH!J26</f>
        <v>-1350000</v>
      </c>
      <c r="J45">
        <f>GH!K26</f>
        <v>-1350000</v>
      </c>
      <c r="K45">
        <f>GH!L26</f>
        <v>-1350000</v>
      </c>
      <c r="L45">
        <f>GH!M26</f>
        <v>-1350000</v>
      </c>
      <c r="M45">
        <f>GH!N26</f>
        <v>-1350000</v>
      </c>
      <c r="N45">
        <f>GH!O26</f>
        <v>-1350000</v>
      </c>
      <c r="O45">
        <f>GH!P26</f>
        <v>-1350000</v>
      </c>
      <c r="P45">
        <f>GH!Q26</f>
        <v>-1350000</v>
      </c>
      <c r="Q45">
        <f>GH!R26</f>
        <v>-1350000</v>
      </c>
    </row>
    <row r="46" spans="1:17" x14ac:dyDescent="0.25">
      <c r="B46" t="s">
        <v>132</v>
      </c>
      <c r="C46">
        <f t="shared" ref="C46:Q46" si="6">SUM(C40:C45)</f>
        <v>-13911458</v>
      </c>
      <c r="D46">
        <f t="shared" si="6"/>
        <v>-9749186.0999999996</v>
      </c>
      <c r="E46">
        <f t="shared" si="6"/>
        <v>-8421453</v>
      </c>
      <c r="F46">
        <f t="shared" si="6"/>
        <v>5784308</v>
      </c>
      <c r="G46">
        <f t="shared" si="6"/>
        <v>7330307.5</v>
      </c>
      <c r="H46">
        <f t="shared" si="6"/>
        <v>7410855.5</v>
      </c>
      <c r="I46">
        <f t="shared" si="6"/>
        <v>7410855.5</v>
      </c>
      <c r="J46">
        <f t="shared" si="6"/>
        <v>7410855.5</v>
      </c>
      <c r="K46">
        <f t="shared" si="6"/>
        <v>6804746</v>
      </c>
      <c r="L46">
        <f t="shared" si="6"/>
        <v>6984746</v>
      </c>
      <c r="M46">
        <f t="shared" si="6"/>
        <v>6804746</v>
      </c>
      <c r="N46">
        <f t="shared" si="6"/>
        <v>6794746</v>
      </c>
      <c r="O46">
        <f t="shared" si="6"/>
        <v>6804746</v>
      </c>
      <c r="P46">
        <f t="shared" si="6"/>
        <v>6804746</v>
      </c>
      <c r="Q46">
        <f t="shared" si="6"/>
        <v>6974746</v>
      </c>
    </row>
    <row r="47" spans="1:17" x14ac:dyDescent="0.25">
      <c r="B47" t="s">
        <v>136</v>
      </c>
      <c r="C47">
        <f>C10</f>
        <v>28836176.666666672</v>
      </c>
    </row>
    <row r="48" spans="1:17" x14ac:dyDescent="0.25">
      <c r="B48" t="s">
        <v>138</v>
      </c>
      <c r="C48" s="19">
        <f>C11</f>
        <v>2299000000</v>
      </c>
    </row>
    <row r="49" spans="2:17" x14ac:dyDescent="0.25">
      <c r="B49" t="s">
        <v>198</v>
      </c>
      <c r="C49">
        <f>C46*($C$11/$C$10)</f>
        <v>-1109108267.4275007</v>
      </c>
      <c r="D49">
        <f t="shared" ref="D49:Q49" si="7">D46*($C$11/$C$10)</f>
        <v>-777265970.55457973</v>
      </c>
      <c r="E49">
        <f>-(E46*($C$11/$C$10))</f>
        <v>671410800.07948327</v>
      </c>
      <c r="F49">
        <f t="shared" si="7"/>
        <v>461161139.55467731</v>
      </c>
      <c r="G49">
        <f t="shared" si="7"/>
        <v>584417869.86208165</v>
      </c>
      <c r="H49">
        <f t="shared" si="7"/>
        <v>590839659.20470488</v>
      </c>
      <c r="I49">
        <f t="shared" si="7"/>
        <v>590839659.20470488</v>
      </c>
      <c r="J49">
        <f t="shared" si="7"/>
        <v>590839659.20470488</v>
      </c>
      <c r="K49">
        <f t="shared" si="7"/>
        <v>542516826.51410198</v>
      </c>
      <c r="L49">
        <f t="shared" si="7"/>
        <v>556867550.07858753</v>
      </c>
      <c r="M49">
        <f t="shared" si="7"/>
        <v>542516826.51410198</v>
      </c>
      <c r="N49">
        <f t="shared" si="7"/>
        <v>541719564.09385276</v>
      </c>
      <c r="O49">
        <f t="shared" si="7"/>
        <v>542516826.51410198</v>
      </c>
      <c r="P49">
        <f t="shared" si="7"/>
        <v>542516826.51410198</v>
      </c>
      <c r="Q49">
        <f t="shared" si="7"/>
        <v>556070287.65833831</v>
      </c>
    </row>
    <row r="50" spans="2:17" ht="30" x14ac:dyDescent="0.25">
      <c r="B50" s="123" t="s">
        <v>158</v>
      </c>
      <c r="C50">
        <f>'Additional financing total'!C37</f>
        <v>-639890870.8424474</v>
      </c>
      <c r="D50">
        <f>'Additional financing total'!D37</f>
        <v>1314099822.8382792</v>
      </c>
      <c r="E50">
        <f>'Additional financing total'!E37</f>
        <v>1510750976.8921049</v>
      </c>
      <c r="F50">
        <f>'Additional financing total'!F37</f>
        <v>-1089703936.5597818</v>
      </c>
      <c r="G50">
        <f>'Additional financing total'!G37</f>
        <v>1722951937.1904709</v>
      </c>
      <c r="H50">
        <f>'Additional financing total'!H37</f>
        <v>-1089703936.5597818</v>
      </c>
      <c r="I50">
        <f>'Additional financing total'!I37</f>
        <v>-1089703936.5597818</v>
      </c>
      <c r="J50">
        <f>'Additional financing total'!J37</f>
        <v>-1089703936.5597818</v>
      </c>
      <c r="K50">
        <f>'Additional financing total'!K37</f>
        <v>-1089703936.5597818</v>
      </c>
      <c r="L50">
        <f>'Additional financing total'!L37</f>
        <v>-1089703936.5597818</v>
      </c>
      <c r="M50">
        <f>'Additional financing total'!M37</f>
        <v>-1113621809.1672575</v>
      </c>
      <c r="N50">
        <f>'Additional financing total'!N37</f>
        <v>-1114419071.5875068</v>
      </c>
      <c r="O50">
        <f>'Additional financing total'!O37</f>
        <v>-1113621809.1672575</v>
      </c>
      <c r="P50">
        <f>'Additional financing total'!P37</f>
        <v>-1113621809.1672575</v>
      </c>
      <c r="Q50">
        <f>'Additional financing total'!Q37</f>
        <v>-1090501198.980031</v>
      </c>
    </row>
    <row r="51" spans="2:17" ht="45" x14ac:dyDescent="0.25">
      <c r="B51" s="123" t="s">
        <v>201</v>
      </c>
      <c r="C51">
        <f>'TF Total Financing'!C38</f>
        <v>-1399199310.6159585</v>
      </c>
      <c r="D51">
        <f>'TF Total Financing'!D38</f>
        <v>268416926.14184976</v>
      </c>
      <c r="E51">
        <f>'TF Total Financing'!E38</f>
        <v>1091080888.4857941</v>
      </c>
      <c r="F51">
        <f>'TF Total Financing'!F38</f>
        <v>628542797.00510454</v>
      </c>
      <c r="G51">
        <f>'TF Total Financing'!G38</f>
        <v>2307369807.0525527</v>
      </c>
      <c r="H51">
        <f>'TF Total Financing'!H38</f>
        <v>-498864277.35507691</v>
      </c>
      <c r="I51">
        <f>'TF Total Financing'!I38</f>
        <v>-498864277.35507691</v>
      </c>
      <c r="J51">
        <f>'TF Total Financing'!J38</f>
        <v>-498864277.35507691</v>
      </c>
      <c r="K51">
        <f>'TF Total Financing'!K38</f>
        <v>-547187110.04567981</v>
      </c>
      <c r="L51">
        <f>'TF Total Financing'!L38</f>
        <v>-532836386.48119426</v>
      </c>
      <c r="M51">
        <f>'TF Total Financing'!M38</f>
        <v>-571104982.65315557</v>
      </c>
      <c r="N51">
        <f>'TF Total Financing'!N38</f>
        <v>-572699507.49365401</v>
      </c>
      <c r="O51">
        <f>'TF Total Financing'!O38</f>
        <v>-571104982.65315557</v>
      </c>
      <c r="P51">
        <f>'TF Total Financing'!P38</f>
        <v>-571104982.65315557</v>
      </c>
      <c r="Q51">
        <f>'TF Total Financing'!Q38</f>
        <v>-534430911.32169271</v>
      </c>
    </row>
    <row r="52" spans="2:17" x14ac:dyDescent="0.25">
      <c r="B52" t="s">
        <v>204</v>
      </c>
      <c r="C52" s="16">
        <f>IRR(C49:Q49)</f>
        <v>0.25132209092137625</v>
      </c>
    </row>
    <row r="53" spans="2:17" x14ac:dyDescent="0.25">
      <c r="B53" t="s">
        <v>205</v>
      </c>
      <c r="C53" s="13">
        <f>NPV(0.1,C49:Q49)</f>
        <v>1684649920.8747702</v>
      </c>
    </row>
    <row r="54" spans="2:17" x14ac:dyDescent="0.25">
      <c r="C54" s="13"/>
    </row>
    <row r="55" spans="2:17" x14ac:dyDescent="0.25">
      <c r="C55" s="70"/>
    </row>
    <row r="56" spans="2:17" x14ac:dyDescent="0.25">
      <c r="B56" t="s">
        <v>206</v>
      </c>
      <c r="C56" s="8">
        <f>'TF Total Financing'!C43</f>
        <v>0.20640715505469931</v>
      </c>
    </row>
    <row r="57" spans="2:17" x14ac:dyDescent="0.25">
      <c r="B57" t="s">
        <v>207</v>
      </c>
      <c r="C57" s="125">
        <f>'TF Total Financing'!C44</f>
        <v>1531499928.0679727</v>
      </c>
    </row>
    <row r="58" spans="2:17" x14ac:dyDescent="0.25">
      <c r="C58" s="28"/>
    </row>
    <row r="59" spans="2:17" x14ac:dyDescent="0.25">
      <c r="C59" s="31"/>
    </row>
    <row r="60" spans="2:17" ht="30" x14ac:dyDescent="0.25">
      <c r="B60" s="123" t="s">
        <v>208</v>
      </c>
      <c r="C60" s="14">
        <f>C51*0.9</f>
        <v>-1259279379.5543625</v>
      </c>
      <c r="D60" s="14">
        <f t="shared" ref="D60:Q60" si="8">D51*0.9</f>
        <v>241575233.52766478</v>
      </c>
      <c r="E60" s="14">
        <f t="shared" si="8"/>
        <v>981972799.63721466</v>
      </c>
      <c r="F60" s="14">
        <f t="shared" si="8"/>
        <v>565688517.30459416</v>
      </c>
      <c r="G60" s="14">
        <f t="shared" si="8"/>
        <v>2076632826.3472974</v>
      </c>
      <c r="H60" s="14">
        <f t="shared" si="8"/>
        <v>-448977849.61956924</v>
      </c>
      <c r="I60" s="14">
        <f t="shared" si="8"/>
        <v>-448977849.61956924</v>
      </c>
      <c r="J60" s="14">
        <f t="shared" si="8"/>
        <v>-448977849.61956924</v>
      </c>
      <c r="K60" s="14">
        <f t="shared" si="8"/>
        <v>-492468399.04111183</v>
      </c>
      <c r="L60" s="14">
        <f t="shared" si="8"/>
        <v>-479552747.83307487</v>
      </c>
      <c r="M60" s="14">
        <f t="shared" si="8"/>
        <v>-513994484.38784003</v>
      </c>
      <c r="N60" s="14">
        <f t="shared" si="8"/>
        <v>-515429556.74428862</v>
      </c>
      <c r="O60" s="14">
        <f t="shared" si="8"/>
        <v>-513994484.38784003</v>
      </c>
      <c r="P60" s="14">
        <f t="shared" si="8"/>
        <v>-513994484.38784003</v>
      </c>
      <c r="Q60" s="14">
        <f t="shared" si="8"/>
        <v>-480987820.18952346</v>
      </c>
    </row>
    <row r="61" spans="2:17" ht="30" x14ac:dyDescent="0.25">
      <c r="B61" s="123" t="s">
        <v>209</v>
      </c>
      <c r="C61" s="14">
        <f>-(NPV(0.1,C60:Q60))</f>
        <v>362373770.46903425</v>
      </c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</row>
    <row r="62" spans="2:17" ht="30" x14ac:dyDescent="0.25">
      <c r="B62" s="123" t="s">
        <v>210</v>
      </c>
      <c r="C62" s="8">
        <f>IRR(C60:Q60)</f>
        <v>0.20640715505469931</v>
      </c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</row>
    <row r="63" spans="2:17" x14ac:dyDescent="0.25">
      <c r="B63" s="123"/>
      <c r="C63" s="8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</row>
    <row r="64" spans="2:17" x14ac:dyDescent="0.25">
      <c r="B64" s="123"/>
      <c r="C64" s="8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</row>
    <row r="65" spans="2:17" ht="30" x14ac:dyDescent="0.25">
      <c r="B65" s="123" t="s">
        <v>211</v>
      </c>
      <c r="C65" s="126">
        <f>C51</f>
        <v>-1399199310.6159585</v>
      </c>
      <c r="D65" s="126"/>
      <c r="E65" s="126"/>
      <c r="F65" s="126">
        <f>F51</f>
        <v>628542797.00510454</v>
      </c>
      <c r="G65" s="126">
        <f>G51</f>
        <v>2307369807.0525527</v>
      </c>
      <c r="H65" s="126">
        <f t="shared" ref="H65:Q65" si="9">H51</f>
        <v>-498864277.35507691</v>
      </c>
      <c r="I65" s="126">
        <f t="shared" si="9"/>
        <v>-498864277.35507691</v>
      </c>
      <c r="J65" s="126">
        <f t="shared" si="9"/>
        <v>-498864277.35507691</v>
      </c>
      <c r="K65" s="126">
        <f t="shared" si="9"/>
        <v>-547187110.04567981</v>
      </c>
      <c r="L65" s="126">
        <f t="shared" si="9"/>
        <v>-532836386.48119426</v>
      </c>
      <c r="M65" s="126">
        <f t="shared" si="9"/>
        <v>-571104982.65315557</v>
      </c>
      <c r="N65" s="126">
        <f t="shared" si="9"/>
        <v>-572699507.49365401</v>
      </c>
      <c r="O65" s="126">
        <f t="shared" si="9"/>
        <v>-571104982.65315557</v>
      </c>
      <c r="P65" s="126">
        <f t="shared" si="9"/>
        <v>-571104982.65315557</v>
      </c>
      <c r="Q65" s="126">
        <f t="shared" si="9"/>
        <v>-534430911.32169271</v>
      </c>
    </row>
    <row r="66" spans="2:17" x14ac:dyDescent="0.25">
      <c r="B66" s="123"/>
      <c r="C66" s="8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</row>
    <row r="67" spans="2:17" ht="30" x14ac:dyDescent="0.25">
      <c r="B67" s="123" t="s">
        <v>212</v>
      </c>
      <c r="C67" s="127">
        <f>-(NPV(0.1,C65:Q65))</f>
        <v>1480380177.0762768</v>
      </c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</row>
    <row r="68" spans="2:17" x14ac:dyDescent="0.25">
      <c r="B68" s="123"/>
      <c r="C68" s="127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</row>
    <row r="69" spans="2:17" ht="30" x14ac:dyDescent="0.25">
      <c r="B69" s="123" t="s">
        <v>213</v>
      </c>
      <c r="C69" s="8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</row>
    <row r="70" spans="2:17" x14ac:dyDescent="0.25">
      <c r="B70" s="123"/>
      <c r="C70" s="8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</row>
    <row r="71" spans="2:17" ht="30" x14ac:dyDescent="0.25">
      <c r="B71" s="123" t="s">
        <v>214</v>
      </c>
      <c r="C71" s="126">
        <f>C51*1.1</f>
        <v>-1539119241.6775544</v>
      </c>
      <c r="D71" s="126">
        <f>D51</f>
        <v>268416926.14184976</v>
      </c>
      <c r="E71" s="126">
        <f t="shared" ref="E71:Q71" si="10">E51</f>
        <v>1091080888.4857941</v>
      </c>
      <c r="F71" s="126">
        <f t="shared" si="10"/>
        <v>628542797.00510454</v>
      </c>
      <c r="G71" s="126">
        <f t="shared" si="10"/>
        <v>2307369807.0525527</v>
      </c>
      <c r="H71" s="126">
        <f t="shared" si="10"/>
        <v>-498864277.35507691</v>
      </c>
      <c r="I71" s="126">
        <f t="shared" si="10"/>
        <v>-498864277.35507691</v>
      </c>
      <c r="J71" s="126">
        <f t="shared" si="10"/>
        <v>-498864277.35507691</v>
      </c>
      <c r="K71" s="126">
        <f t="shared" si="10"/>
        <v>-547187110.04567981</v>
      </c>
      <c r="L71" s="126">
        <f t="shared" si="10"/>
        <v>-532836386.48119426</v>
      </c>
      <c r="M71" s="126">
        <f t="shared" si="10"/>
        <v>-571104982.65315557</v>
      </c>
      <c r="N71" s="126">
        <f t="shared" si="10"/>
        <v>-572699507.49365401</v>
      </c>
      <c r="O71" s="126">
        <f t="shared" si="10"/>
        <v>-571104982.65315557</v>
      </c>
      <c r="P71" s="126">
        <f t="shared" si="10"/>
        <v>-571104982.65315557</v>
      </c>
      <c r="Q71" s="126">
        <f t="shared" si="10"/>
        <v>-534430911.32169271</v>
      </c>
    </row>
    <row r="72" spans="2:17" x14ac:dyDescent="0.25">
      <c r="B72" s="123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</row>
    <row r="73" spans="2:17" x14ac:dyDescent="0.25">
      <c r="B73" s="123" t="s">
        <v>216</v>
      </c>
      <c r="C73" s="8">
        <v>0.2</v>
      </c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</row>
    <row r="74" spans="2:17" x14ac:dyDescent="0.25">
      <c r="B74" s="123" t="s">
        <v>215</v>
      </c>
      <c r="C74" s="125">
        <f>-(NPV(0.1,C71:Q71))</f>
        <v>529837460.0720948</v>
      </c>
    </row>
    <row r="77" spans="2:17" x14ac:dyDescent="0.25">
      <c r="C77" s="128" t="s">
        <v>217</v>
      </c>
      <c r="D77" s="129" t="s">
        <v>58</v>
      </c>
      <c r="E77" s="129" t="s">
        <v>52</v>
      </c>
      <c r="F77" s="129" t="s">
        <v>53</v>
      </c>
      <c r="G77" s="130" t="s">
        <v>59</v>
      </c>
    </row>
    <row r="78" spans="2:17" x14ac:dyDescent="0.25">
      <c r="C78" s="131" t="s">
        <v>218</v>
      </c>
      <c r="D78" s="132">
        <f>C52</f>
        <v>0.25132209092137625</v>
      </c>
      <c r="E78" s="132">
        <f>C14</f>
        <v>0.21194584138598493</v>
      </c>
      <c r="F78" s="133">
        <f>C15</f>
        <v>1656437338.7765203</v>
      </c>
      <c r="G78" s="134">
        <f>C57</f>
        <v>1531499928.0679727</v>
      </c>
    </row>
    <row r="79" spans="2:17" x14ac:dyDescent="0.25">
      <c r="C79" s="135" t="s">
        <v>219</v>
      </c>
      <c r="D79" s="136">
        <f>C25</f>
        <v>0.20700349100520499</v>
      </c>
      <c r="E79" s="136">
        <f>C25</f>
        <v>0.20700349100520499</v>
      </c>
      <c r="F79" s="137">
        <f>C24</f>
        <v>2656899345.5693913</v>
      </c>
      <c r="G79" s="138">
        <f>C61</f>
        <v>362373770.46903425</v>
      </c>
    </row>
    <row r="80" spans="2:17" x14ac:dyDescent="0.25">
      <c r="C80" s="131" t="s">
        <v>220</v>
      </c>
      <c r="D80" s="132">
        <f>C73</f>
        <v>0.2</v>
      </c>
      <c r="E80" s="132">
        <f>C32</f>
        <v>0.19770047796663959</v>
      </c>
      <c r="F80" s="133">
        <f>C37</f>
        <v>3408569403.5230203</v>
      </c>
      <c r="G80" s="134">
        <f>C67</f>
        <v>1480380177.0762768</v>
      </c>
    </row>
    <row r="81" spans="3:7" x14ac:dyDescent="0.25">
      <c r="C81" s="135" t="s">
        <v>221</v>
      </c>
      <c r="D81" s="136">
        <v>0.21</v>
      </c>
      <c r="E81" s="136">
        <f>C36</f>
        <v>0.2</v>
      </c>
      <c r="F81" s="137">
        <f>C37</f>
        <v>3408569403.5230203</v>
      </c>
      <c r="G81" s="138">
        <f>C74</f>
        <v>529837460.0720948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44F7D-ADC3-4670-9209-F85BF9A82FBA}">
  <dimension ref="A1:W55"/>
  <sheetViews>
    <sheetView topLeftCell="A23" workbookViewId="0">
      <selection activeCell="E40" sqref="E40"/>
    </sheetView>
  </sheetViews>
  <sheetFormatPr defaultRowHeight="15" x14ac:dyDescent="0.25"/>
  <cols>
    <col min="2" max="2" width="23" customWidth="1"/>
    <col min="3" max="3" width="18.28515625" bestFit="1" customWidth="1"/>
    <col min="4" max="4" width="14.42578125" bestFit="1" customWidth="1"/>
    <col min="5" max="5" width="14.28515625" customWidth="1"/>
    <col min="6" max="6" width="15.140625" customWidth="1"/>
    <col min="7" max="7" width="14.42578125" customWidth="1"/>
    <col min="8" max="8" width="15.28515625" customWidth="1"/>
    <col min="9" max="9" width="13.5703125" customWidth="1"/>
    <col min="10" max="10" width="14.85546875" customWidth="1"/>
    <col min="11" max="11" width="15.140625" customWidth="1"/>
    <col min="12" max="13" width="13" customWidth="1"/>
    <col min="14" max="14" width="12.7109375" customWidth="1"/>
    <col min="15" max="15" width="13.5703125" customWidth="1"/>
    <col min="16" max="16" width="12.42578125" customWidth="1"/>
    <col min="17" max="17" width="12.140625" customWidth="1"/>
    <col min="22" max="22" width="12.7109375" bestFit="1" customWidth="1"/>
  </cols>
  <sheetData>
    <row r="1" spans="1:23" ht="15.75" thickBot="1" x14ac:dyDescent="0.3">
      <c r="A1" t="s">
        <v>134</v>
      </c>
    </row>
    <row r="2" spans="1:23" ht="15.75" thickBot="1" x14ac:dyDescent="0.3">
      <c r="A2" t="s">
        <v>135</v>
      </c>
      <c r="B2" s="66" t="s">
        <v>116</v>
      </c>
      <c r="C2" s="67" t="s">
        <v>117</v>
      </c>
      <c r="D2" s="67" t="s">
        <v>118</v>
      </c>
      <c r="E2" s="67" t="s">
        <v>119</v>
      </c>
      <c r="F2" s="67" t="s">
        <v>120</v>
      </c>
      <c r="G2" s="68" t="s">
        <v>121</v>
      </c>
      <c r="H2" s="67" t="s">
        <v>122</v>
      </c>
      <c r="I2" s="67" t="s">
        <v>123</v>
      </c>
      <c r="J2" s="67" t="s">
        <v>124</v>
      </c>
      <c r="K2" s="68" t="s">
        <v>125</v>
      </c>
      <c r="L2" s="67" t="s">
        <v>126</v>
      </c>
      <c r="M2" s="67" t="s">
        <v>127</v>
      </c>
      <c r="N2" s="67" t="s">
        <v>128</v>
      </c>
      <c r="O2" s="68" t="s">
        <v>129</v>
      </c>
      <c r="P2" s="67" t="s">
        <v>130</v>
      </c>
      <c r="Q2" s="68" t="s">
        <v>131</v>
      </c>
    </row>
    <row r="3" spans="1:23" x14ac:dyDescent="0.25">
      <c r="B3" t="s">
        <v>176</v>
      </c>
      <c r="C3" s="69">
        <f>'Peanut TF'!G30</f>
        <v>-671500</v>
      </c>
      <c r="D3" s="69">
        <f>'Peanut TF'!H30</f>
        <v>-136833.33333333334</v>
      </c>
      <c r="E3" s="69">
        <f>'Peanut TF'!I30</f>
        <v>-84833.333333333343</v>
      </c>
      <c r="F3" s="69">
        <f>'Peanut TF'!J30</f>
        <v>1615166.6666666667</v>
      </c>
      <c r="G3" s="69">
        <f>'Peanut TF'!K30</f>
        <v>55166.666666666664</v>
      </c>
      <c r="H3" s="69">
        <f>'Peanut TF'!L30</f>
        <v>45166.666666666664</v>
      </c>
      <c r="I3" s="69">
        <f>'Peanut TF'!M30</f>
        <v>55166.666666666664</v>
      </c>
      <c r="J3" s="69">
        <f>'Peanut TF'!N30</f>
        <v>55166.666666666664</v>
      </c>
      <c r="K3" s="69">
        <f>'Peanut TF'!O30</f>
        <v>45166.666666666664</v>
      </c>
      <c r="L3" s="69">
        <f>'Peanut TF'!P30</f>
        <v>55166.666666666664</v>
      </c>
      <c r="M3" s="69">
        <f>'Peanut TF'!Q30</f>
        <v>55166.666666666664</v>
      </c>
      <c r="N3" s="69">
        <f>'Peanut TF'!R30</f>
        <v>45166.666666666664</v>
      </c>
      <c r="O3" s="69">
        <f>'Peanut TF'!S30</f>
        <v>55166.666666666664</v>
      </c>
      <c r="P3" s="69">
        <f>'Peanut TF'!T30</f>
        <v>55166.666666666664</v>
      </c>
      <c r="Q3" s="69">
        <f>'Peanut TF'!U30</f>
        <v>45166.666666666664</v>
      </c>
    </row>
    <row r="4" spans="1:23" x14ac:dyDescent="0.25">
      <c r="B4" t="s">
        <v>177</v>
      </c>
      <c r="C4" s="48">
        <f>'Cassava TF'!G29</f>
        <v>-2644166.6666666665</v>
      </c>
      <c r="D4" s="48">
        <f>'Cassava TF'!H29</f>
        <v>-3564166.6666666665</v>
      </c>
      <c r="E4" s="48">
        <f>'Cassava TF'!I29</f>
        <v>1595833.3333333333</v>
      </c>
      <c r="F4" s="48">
        <f>'Cassava TF'!J29</f>
        <v>1595833.3333333333</v>
      </c>
      <c r="G4" s="48">
        <f>'Cassava TF'!K29</f>
        <v>1595833.3333333333</v>
      </c>
      <c r="H4" s="48">
        <f>'Cassava TF'!L29</f>
        <v>1595833.3333333333</v>
      </c>
      <c r="I4" s="48">
        <f>'Cassava TF'!M29</f>
        <v>1595833.3333333333</v>
      </c>
      <c r="J4" s="48">
        <f>'Cassava TF'!N29</f>
        <v>1595833.3333333333</v>
      </c>
      <c r="K4" s="48">
        <f>'Cassava TF'!O29</f>
        <v>1595833.3333333333</v>
      </c>
      <c r="L4" s="48">
        <f>'Cassava TF'!P29</f>
        <v>1595833.3333333333</v>
      </c>
      <c r="M4" s="48">
        <f>'Cassava TF'!Q29</f>
        <v>1595833.3333333333</v>
      </c>
      <c r="N4" s="48">
        <f>'Cassava TF'!R29</f>
        <v>1595833.3333333333</v>
      </c>
      <c r="O4" s="48">
        <f>'Cassava TF'!S29</f>
        <v>1595833.3333333333</v>
      </c>
      <c r="P4" s="48">
        <f>'Cassava TF'!T29</f>
        <v>595833.33333333337</v>
      </c>
      <c r="Q4" s="48">
        <f>'Cassava TF'!U29</f>
        <v>1595833.3333333333</v>
      </c>
    </row>
    <row r="5" spans="1:23" x14ac:dyDescent="0.25">
      <c r="B5" t="s">
        <v>178</v>
      </c>
      <c r="C5">
        <f>'Cassava processing TF'!G31</f>
        <v>-6470810</v>
      </c>
      <c r="D5">
        <f>'Cassava processing TF'!H31</f>
        <v>-6356119</v>
      </c>
      <c r="E5">
        <f>'Cassava processing TF'!I31</f>
        <v>-2817355</v>
      </c>
      <c r="F5">
        <f>'Cassava processing TF'!J31</f>
        <v>-407081.25</v>
      </c>
      <c r="G5">
        <f>'Cassava processing TF'!K31</f>
        <v>7449893.75</v>
      </c>
      <c r="H5">
        <f>'Cassava processing TF'!L31</f>
        <v>2950193.75</v>
      </c>
      <c r="I5">
        <f>'Cassava processing TF'!M31</f>
        <v>2960193.75</v>
      </c>
      <c r="J5">
        <f>'Cassava processing TF'!N31</f>
        <v>2960193.75</v>
      </c>
      <c r="K5">
        <f>'Cassava processing TF'!O31</f>
        <v>2950193.75</v>
      </c>
      <c r="L5">
        <f>'Cassava processing TF'!P31</f>
        <v>2960193.75</v>
      </c>
      <c r="M5">
        <f>'Cassava processing TF'!Q31</f>
        <v>2960193.75</v>
      </c>
      <c r="N5">
        <f>'Cassava processing TF'!R31</f>
        <v>2950193.75</v>
      </c>
      <c r="O5">
        <f>'Cassava processing TF'!S31</f>
        <v>2960193.75</v>
      </c>
      <c r="P5">
        <f>'Cassava processing TF'!T31</f>
        <v>2960193.75</v>
      </c>
      <c r="Q5">
        <f>'Cassava processing TF'!U31</f>
        <v>2950193.75</v>
      </c>
    </row>
    <row r="6" spans="1:23" x14ac:dyDescent="0.25">
      <c r="B6" t="s">
        <v>179</v>
      </c>
      <c r="C6">
        <f>'cattle breeding TF'!G30</f>
        <v>-3386333.3333333335</v>
      </c>
      <c r="D6">
        <f>'cattle breeding TF'!H30</f>
        <v>-121333.33333333334</v>
      </c>
      <c r="E6">
        <f>'cattle breeding TF'!I30</f>
        <v>466666.66666666669</v>
      </c>
      <c r="F6">
        <f>'cattle breeding TF'!J30</f>
        <v>1254666.6666666667</v>
      </c>
      <c r="G6">
        <f>'cattle breeding TF'!K30</f>
        <v>1254666.6666666667</v>
      </c>
      <c r="H6">
        <f>'cattle breeding TF'!L30</f>
        <v>1254666.6666666667</v>
      </c>
      <c r="I6">
        <f>'cattle breeding TF'!M30</f>
        <v>1254666.6666666667</v>
      </c>
      <c r="J6">
        <f>'cattle breeding TF'!N30</f>
        <v>1254666.6666666667</v>
      </c>
      <c r="K6">
        <f>'cattle breeding TF'!O30</f>
        <v>1254666.6666666667</v>
      </c>
      <c r="L6">
        <f>'cattle breeding TF'!P30</f>
        <v>1254666.6666666667</v>
      </c>
      <c r="M6">
        <f>'cattle breeding TF'!Q30</f>
        <v>1254666.6666666667</v>
      </c>
      <c r="N6">
        <f>'cattle breeding TF'!R30</f>
        <v>1254666.6666666667</v>
      </c>
      <c r="O6">
        <f>'cattle breeding TF'!S30</f>
        <v>1254666.6666666667</v>
      </c>
      <c r="P6">
        <f>'cattle breeding TF'!T30</f>
        <v>1254666.6666666667</v>
      </c>
      <c r="Q6">
        <f>'cattle breeding TF'!U30</f>
        <v>1254666.6666666667</v>
      </c>
      <c r="R6" s="48">
        <f>'External Shading (Awnings, Over'!V30</f>
        <v>0</v>
      </c>
      <c r="S6" s="48">
        <f>'External Shading (Awnings, Over'!W30</f>
        <v>0</v>
      </c>
    </row>
    <row r="7" spans="1:23" x14ac:dyDescent="0.25">
      <c r="B7" t="s">
        <v>180</v>
      </c>
      <c r="C7">
        <f>'Poutry breeding TF'!G28</f>
        <v>-3920550</v>
      </c>
      <c r="D7">
        <f>'Poutry breeding TF'!H28</f>
        <v>-3920550</v>
      </c>
      <c r="E7">
        <f>'Poutry breeding TF'!I28</f>
        <v>-3920550</v>
      </c>
      <c r="F7">
        <f>'Poutry breeding TF'!J28</f>
        <v>-3920550</v>
      </c>
      <c r="G7">
        <f>'Poutry breeding TF'!K28</f>
        <v>-1841970</v>
      </c>
      <c r="H7">
        <f>'Poutry breeding TF'!L28</f>
        <v>-1121970</v>
      </c>
      <c r="I7">
        <f>'Poutry breeding TF'!M28</f>
        <v>-257970</v>
      </c>
      <c r="J7">
        <f>'Poutry breeding TF'!N28</f>
        <v>778830</v>
      </c>
      <c r="K7">
        <f>'Poutry breeding TF'!O28</f>
        <v>2022990</v>
      </c>
      <c r="L7">
        <f>'Poutry breeding TF'!P28</f>
        <v>3515982</v>
      </c>
      <c r="M7">
        <f>'Poutry breeding TF'!Q28</f>
        <v>5307572.4000000004</v>
      </c>
      <c r="N7">
        <f>'Poutry breeding TF'!R28</f>
        <v>7457480.8800000008</v>
      </c>
      <c r="O7">
        <f>'Poutry breeding TF'!S28</f>
        <v>10037371.056</v>
      </c>
      <c r="P7">
        <f>'Poutry breeding TF'!T28</f>
        <v>13133239.267200001</v>
      </c>
      <c r="Q7">
        <f>'Poutry breeding TF'!U28</f>
        <v>16858991.120639998</v>
      </c>
    </row>
    <row r="8" spans="1:23" x14ac:dyDescent="0.25">
      <c r="B8" t="s">
        <v>181</v>
      </c>
      <c r="C8">
        <f>GH!D17</f>
        <v>-400000</v>
      </c>
      <c r="D8">
        <f>GH!E17</f>
        <v>-450000</v>
      </c>
      <c r="E8">
        <f>GH!F17</f>
        <v>-450000</v>
      </c>
      <c r="F8">
        <f>GH!G17</f>
        <v>-450000</v>
      </c>
      <c r="G8">
        <f>GH!H17</f>
        <v>420000</v>
      </c>
      <c r="H8">
        <f>GH!I17</f>
        <v>420000</v>
      </c>
      <c r="I8">
        <f>GH!J17</f>
        <v>420000</v>
      </c>
      <c r="J8">
        <f>GH!K17</f>
        <v>420000</v>
      </c>
      <c r="K8">
        <f>GH!L17</f>
        <v>420000</v>
      </c>
      <c r="L8">
        <f>GH!M17</f>
        <v>420000</v>
      </c>
      <c r="M8">
        <f>GH!N17</f>
        <v>420000</v>
      </c>
      <c r="N8">
        <f>GH!O17</f>
        <v>420000</v>
      </c>
      <c r="O8">
        <f>GH!P17</f>
        <v>420000</v>
      </c>
      <c r="P8">
        <f>GH!Q17</f>
        <v>420000</v>
      </c>
      <c r="Q8">
        <f>GH!R17</f>
        <v>420000</v>
      </c>
    </row>
    <row r="9" spans="1:23" x14ac:dyDescent="0.25">
      <c r="B9" t="s">
        <v>132</v>
      </c>
      <c r="C9">
        <f t="shared" ref="C9:Q9" si="0">SUM(C3:C8)</f>
        <v>-17493360</v>
      </c>
      <c r="D9">
        <f t="shared" si="0"/>
        <v>-14549002.333333334</v>
      </c>
      <c r="E9">
        <f t="shared" si="0"/>
        <v>-5210238.333333333</v>
      </c>
      <c r="F9">
        <f t="shared" si="0"/>
        <v>-311964.58333333302</v>
      </c>
      <c r="G9">
        <f t="shared" si="0"/>
        <v>8933590.416666666</v>
      </c>
      <c r="H9">
        <f t="shared" si="0"/>
        <v>5143890.416666667</v>
      </c>
      <c r="I9">
        <f t="shared" si="0"/>
        <v>6027890.416666667</v>
      </c>
      <c r="J9">
        <f t="shared" si="0"/>
        <v>7064690.416666667</v>
      </c>
      <c r="K9">
        <f t="shared" si="0"/>
        <v>8288850.416666667</v>
      </c>
      <c r="L9">
        <f t="shared" si="0"/>
        <v>9801842.4166666679</v>
      </c>
      <c r="M9">
        <f t="shared" si="0"/>
        <v>11593432.816666666</v>
      </c>
      <c r="N9">
        <f t="shared" si="0"/>
        <v>13723341.296666667</v>
      </c>
      <c r="O9">
        <f t="shared" si="0"/>
        <v>16323231.472666666</v>
      </c>
      <c r="P9">
        <f t="shared" si="0"/>
        <v>18419099.683866668</v>
      </c>
      <c r="Q9">
        <f t="shared" si="0"/>
        <v>23124851.537306666</v>
      </c>
    </row>
    <row r="10" spans="1:23" x14ac:dyDescent="0.25">
      <c r="B10" t="s">
        <v>136</v>
      </c>
      <c r="C10">
        <f>Summary!B11</f>
        <v>28836176.666666672</v>
      </c>
      <c r="T10" t="s">
        <v>136</v>
      </c>
      <c r="V10">
        <v>10</v>
      </c>
      <c r="W10" t="s">
        <v>137</v>
      </c>
    </row>
    <row r="11" spans="1:23" x14ac:dyDescent="0.25">
      <c r="B11" t="s">
        <v>138</v>
      </c>
      <c r="C11" s="13">
        <f>V13</f>
        <v>2299000000</v>
      </c>
      <c r="U11" t="s">
        <v>133</v>
      </c>
      <c r="V11">
        <f>10000000</f>
        <v>10000000</v>
      </c>
    </row>
    <row r="12" spans="1:23" ht="30" x14ac:dyDescent="0.25">
      <c r="B12" s="123" t="s">
        <v>199</v>
      </c>
      <c r="C12" s="13">
        <f>'Additional financing total'!C13</f>
        <v>-1331167802.758872</v>
      </c>
      <c r="D12">
        <f>'Additional financing total'!D13</f>
        <v>342389661.45881802</v>
      </c>
      <c r="E12">
        <f>'Additional financing total'!E13</f>
        <v>182937177.40897915</v>
      </c>
      <c r="F12">
        <f>'Additional financing total'!F13</f>
        <v>-81488191.97367008</v>
      </c>
      <c r="G12">
        <f>'Additional financing total'!G13</f>
        <v>119643576.88195598</v>
      </c>
      <c r="H12">
        <f>'Additional financing total'!H13</f>
        <v>165884797.25640923</v>
      </c>
      <c r="I12">
        <f>'Additional financing total'!I13</f>
        <v>224882216.35484958</v>
      </c>
      <c r="J12">
        <f>'Additional financing total'!J13</f>
        <v>293765689.46437991</v>
      </c>
      <c r="K12">
        <f>'Additional financing total'!K13</f>
        <v>374831332.35531783</v>
      </c>
      <c r="L12">
        <f>'Additional financing total'!L13</f>
        <v>475618058.47353995</v>
      </c>
      <c r="M12">
        <f>'Additional financing total'!M13</f>
        <v>594648700.0068084</v>
      </c>
      <c r="N12">
        <f>'Additional financing total'!N13</f>
        <v>735890945.00623214</v>
      </c>
      <c r="O12">
        <f>'Additional financing total'!O13</f>
        <v>908889593.6546371</v>
      </c>
      <c r="P12">
        <f>'Additional financing total'!P13</f>
        <v>1034848300.1992055</v>
      </c>
      <c r="Q12">
        <f>'Additional financing total'!Q13</f>
        <v>1360655823.7190986</v>
      </c>
    </row>
    <row r="13" spans="1:23" ht="30" x14ac:dyDescent="0.25">
      <c r="B13" s="123" t="s">
        <v>197</v>
      </c>
      <c r="C13">
        <f>C9*($C$11/$C$10)</f>
        <v>-1394679853.1890435</v>
      </c>
      <c r="D13">
        <f>-(D9*($C$11/$C$10))</f>
        <v>1159937281.24845</v>
      </c>
      <c r="E13" s="18">
        <f>E9*($C$11/$C$10)</f>
        <v>-415392722.37084585</v>
      </c>
      <c r="F13" s="18">
        <f>(F9*($C$11/$C$10))</f>
        <v>-24871763.874036435</v>
      </c>
      <c r="G13">
        <f>-(G9*($C$11/$C$10))</f>
        <v>-712241591.71066689</v>
      </c>
      <c r="H13">
        <f>-(H9*($C$11/$C$10))</f>
        <v>-410103052.30883002</v>
      </c>
      <c r="I13">
        <f t="shared" ref="I13:Q13" si="1">I9*($C$11/$C$10)</f>
        <v>480581050.2588588</v>
      </c>
      <c r="J13">
        <f t="shared" si="1"/>
        <v>563241217.99029517</v>
      </c>
      <c r="K13">
        <f t="shared" si="1"/>
        <v>660838894.42752051</v>
      </c>
      <c r="L13">
        <f t="shared" si="1"/>
        <v>781464060.80128741</v>
      </c>
      <c r="M13">
        <f t="shared" si="1"/>
        <v>924300830.64120936</v>
      </c>
      <c r="N13">
        <f t="shared" si="1"/>
        <v>1094110429.6086175</v>
      </c>
      <c r="O13">
        <f t="shared" si="1"/>
        <v>1301389903.0186036</v>
      </c>
      <c r="P13">
        <f t="shared" si="1"/>
        <v>1468485599.2770698</v>
      </c>
      <c r="Q13">
        <f t="shared" si="1"/>
        <v>1843657510.45364</v>
      </c>
      <c r="U13" t="s">
        <v>40</v>
      </c>
      <c r="V13" s="72">
        <v>2299000000</v>
      </c>
    </row>
    <row r="14" spans="1:23" x14ac:dyDescent="0.25">
      <c r="B14" t="s">
        <v>202</v>
      </c>
      <c r="C14" s="16">
        <f>IRR(C13:Q13)</f>
        <v>0.21194584138598493</v>
      </c>
    </row>
    <row r="15" spans="1:23" x14ac:dyDescent="0.25">
      <c r="B15" t="s">
        <v>203</v>
      </c>
      <c r="C15" s="13">
        <f>NPV(0.1,C13:Q13)</f>
        <v>1656437338.7765203</v>
      </c>
    </row>
    <row r="16" spans="1:23" x14ac:dyDescent="0.25">
      <c r="D16" s="13"/>
      <c r="G16" s="18"/>
      <c r="H16" s="18"/>
      <c r="I16" s="18"/>
    </row>
    <row r="17" spans="1:17" x14ac:dyDescent="0.25">
      <c r="C17" s="28"/>
    </row>
    <row r="18" spans="1:17" x14ac:dyDescent="0.25">
      <c r="C18" s="31">
        <f>V13</f>
        <v>2299000000</v>
      </c>
    </row>
    <row r="19" spans="1:17" ht="30" x14ac:dyDescent="0.25">
      <c r="B19" s="123" t="s">
        <v>200</v>
      </c>
      <c r="C19" s="14">
        <f>C12+C13</f>
        <v>-2725847655.9479156</v>
      </c>
      <c r="D19" s="14">
        <f>(D12+D13)</f>
        <v>1502326942.707268</v>
      </c>
      <c r="E19" s="14">
        <f>-(E12+E13)</f>
        <v>232455544.96186671</v>
      </c>
      <c r="F19" s="14">
        <f t="shared" ref="F19:Q19" si="2">F12+F13</f>
        <v>-106359955.84770651</v>
      </c>
      <c r="G19" s="14">
        <f t="shared" si="2"/>
        <v>-592598014.82871091</v>
      </c>
      <c r="H19" s="14">
        <f t="shared" si="2"/>
        <v>-244218255.05242079</v>
      </c>
      <c r="I19" s="14">
        <f t="shared" si="2"/>
        <v>705463266.61370838</v>
      </c>
      <c r="J19" s="14">
        <f t="shared" si="2"/>
        <v>857006907.45467508</v>
      </c>
      <c r="K19" s="14">
        <f t="shared" si="2"/>
        <v>1035670226.7828383</v>
      </c>
      <c r="L19" s="14">
        <f t="shared" si="2"/>
        <v>1257082119.2748275</v>
      </c>
      <c r="M19" s="14">
        <f t="shared" si="2"/>
        <v>1518949530.6480179</v>
      </c>
      <c r="N19" s="14">
        <f t="shared" si="2"/>
        <v>1830001374.6148496</v>
      </c>
      <c r="O19" s="14">
        <f t="shared" si="2"/>
        <v>2210279496.6732407</v>
      </c>
      <c r="P19" s="14">
        <f t="shared" si="2"/>
        <v>2503333899.4762754</v>
      </c>
      <c r="Q19" s="14">
        <f t="shared" si="2"/>
        <v>3204313334.1727386</v>
      </c>
    </row>
    <row r="20" spans="1:17" x14ac:dyDescent="0.25">
      <c r="B20" t="s">
        <v>52</v>
      </c>
      <c r="C20" s="8">
        <f>IRR(C19:Q19)</f>
        <v>0.22667940545633702</v>
      </c>
    </row>
    <row r="21" spans="1:17" x14ac:dyDescent="0.25">
      <c r="B21" t="s">
        <v>53</v>
      </c>
      <c r="C21" s="125"/>
    </row>
    <row r="22" spans="1:17" x14ac:dyDescent="0.25">
      <c r="C22" s="13"/>
    </row>
    <row r="25" spans="1:17" ht="15.75" thickBot="1" x14ac:dyDescent="0.3">
      <c r="A25" t="s">
        <v>139</v>
      </c>
    </row>
    <row r="26" spans="1:17" ht="15.75" thickBot="1" x14ac:dyDescent="0.3">
      <c r="A26" t="s">
        <v>135</v>
      </c>
      <c r="B26" s="66" t="s">
        <v>116</v>
      </c>
      <c r="C26" s="67" t="s">
        <v>117</v>
      </c>
      <c r="D26" s="67" t="s">
        <v>118</v>
      </c>
      <c r="E26" s="67" t="s">
        <v>119</v>
      </c>
      <c r="F26" s="67" t="s">
        <v>120</v>
      </c>
      <c r="G26" s="68" t="s">
        <v>121</v>
      </c>
      <c r="H26" s="67" t="s">
        <v>122</v>
      </c>
      <c r="I26" s="67" t="s">
        <v>123</v>
      </c>
      <c r="J26" s="67" t="s">
        <v>124</v>
      </c>
      <c r="K26" s="68" t="s">
        <v>125</v>
      </c>
      <c r="L26" s="67" t="s">
        <v>126</v>
      </c>
      <c r="M26" s="67" t="s">
        <v>127</v>
      </c>
      <c r="N26" s="67" t="s">
        <v>128</v>
      </c>
      <c r="O26" s="68" t="s">
        <v>129</v>
      </c>
      <c r="P26" s="67" t="s">
        <v>130</v>
      </c>
      <c r="Q26" s="68" t="s">
        <v>131</v>
      </c>
    </row>
    <row r="27" spans="1:17" x14ac:dyDescent="0.25">
      <c r="B27" t="s">
        <v>182</v>
      </c>
      <c r="C27">
        <f>'Peanut TF'!G64</f>
        <v>-753790</v>
      </c>
      <c r="D27">
        <f>'Peanut TF'!H64</f>
        <v>-83590</v>
      </c>
      <c r="E27">
        <f>'Peanut TF'!I64</f>
        <v>-36790</v>
      </c>
      <c r="F27">
        <f>'Peanut TF'!J64</f>
        <v>1484210</v>
      </c>
      <c r="G27">
        <f>'Peanut TF'!K64</f>
        <v>80210</v>
      </c>
      <c r="H27">
        <f>'Peanut TF'!L64</f>
        <v>80210</v>
      </c>
      <c r="I27">
        <f>'Peanut TF'!M64</f>
        <v>80210</v>
      </c>
      <c r="J27">
        <f>'Peanut TF'!N64</f>
        <v>80210</v>
      </c>
      <c r="K27">
        <f>'Peanut TF'!O64</f>
        <v>80210</v>
      </c>
      <c r="L27">
        <f>'Peanut TF'!P64</f>
        <v>80210</v>
      </c>
      <c r="M27">
        <f>'Peanut TF'!Q64</f>
        <v>80210</v>
      </c>
      <c r="N27">
        <f>'Peanut TF'!R64</f>
        <v>80210</v>
      </c>
      <c r="O27">
        <f>'Peanut TF'!S64</f>
        <v>80210</v>
      </c>
      <c r="P27">
        <f>'Peanut TF'!T64</f>
        <v>80210</v>
      </c>
      <c r="Q27">
        <f>'Peanut TF'!U64</f>
        <v>80210</v>
      </c>
    </row>
    <row r="28" spans="1:17" x14ac:dyDescent="0.25">
      <c r="B28" t="s">
        <v>183</v>
      </c>
      <c r="C28">
        <f>'Cassava TF'!G66</f>
        <v>-2344800</v>
      </c>
      <c r="D28">
        <f>'Cassava TF'!H66</f>
        <v>-2286950</v>
      </c>
      <c r="E28">
        <f>'Cassava TF'!I66</f>
        <v>-1540250</v>
      </c>
      <c r="F28">
        <f>'Cassava TF'!J66</f>
        <v>1540250</v>
      </c>
      <c r="G28">
        <f>'Cassava TF'!K66</f>
        <v>1540250</v>
      </c>
      <c r="H28">
        <f>'Cassava TF'!L66</f>
        <v>1540250</v>
      </c>
      <c r="I28">
        <f>'Cassava TF'!M66</f>
        <v>1540250</v>
      </c>
      <c r="J28">
        <f>'Cassava TF'!N66</f>
        <v>1540250</v>
      </c>
      <c r="K28">
        <f>'Cassava TF'!O66</f>
        <v>1540250</v>
      </c>
      <c r="L28">
        <f>'Cassava TF'!P66</f>
        <v>1540250</v>
      </c>
      <c r="M28">
        <f>'Cassava TF'!Q66</f>
        <v>1540250</v>
      </c>
      <c r="N28">
        <f>'Cassava TF'!R66</f>
        <v>1540250</v>
      </c>
      <c r="O28">
        <f>'Cassava TF'!S66</f>
        <v>1540250</v>
      </c>
      <c r="P28">
        <f>'Cassava TF'!T66</f>
        <v>1540250</v>
      </c>
      <c r="Q28">
        <f>'Cassava TF'!U66</f>
        <v>1540250</v>
      </c>
    </row>
    <row r="29" spans="1:17" x14ac:dyDescent="0.25">
      <c r="B29" t="s">
        <v>142</v>
      </c>
      <c r="C29">
        <f>'Cassava processing TF'!G65</f>
        <v>-5241229</v>
      </c>
      <c r="D29">
        <f>'Cassava processing TF'!H65</f>
        <v>-2102007.1</v>
      </c>
      <c r="E29">
        <f>'Cassava processing TF'!I65</f>
        <v>-1567774</v>
      </c>
      <c r="F29">
        <f>'Cassava processing TF'!J65</f>
        <v>183209</v>
      </c>
      <c r="G29">
        <f>'Cassava processing TF'!K65</f>
        <v>7254486.5</v>
      </c>
      <c r="H29">
        <f>'Cassava processing TF'!L65</f>
        <v>3213756.5</v>
      </c>
      <c r="I29">
        <f>'Cassava processing TF'!M65</f>
        <v>3213756.5</v>
      </c>
      <c r="J29">
        <f>'Cassava processing TF'!N65</f>
        <v>3213756.5</v>
      </c>
      <c r="K29">
        <f>'Cassava processing TF'!O65</f>
        <v>2607647</v>
      </c>
      <c r="L29">
        <f>'Cassava processing TF'!P65</f>
        <v>2607647</v>
      </c>
      <c r="M29">
        <f>'Cassava processing TF'!Q65</f>
        <v>2607647</v>
      </c>
      <c r="N29">
        <f>'Cassava processing TF'!R65</f>
        <v>2597647</v>
      </c>
      <c r="O29">
        <f>'Cassava processing TF'!S65</f>
        <v>2607647</v>
      </c>
      <c r="P29">
        <f>'Cassava processing TF'!T65</f>
        <v>2607647</v>
      </c>
      <c r="Q29">
        <f>'Cassava processing TF'!U65</f>
        <v>2597647</v>
      </c>
    </row>
    <row r="30" spans="1:17" x14ac:dyDescent="0.25">
      <c r="B30" t="s">
        <v>184</v>
      </c>
      <c r="C30">
        <f>'cattle breeding TF'!G63</f>
        <v>-3021000</v>
      </c>
      <c r="D30">
        <f>'cattle breeding TF'!H63</f>
        <v>-1776000</v>
      </c>
      <c r="E30">
        <f>'cattle breeding TF'!I63</f>
        <v>-1776000</v>
      </c>
      <c r="F30">
        <f>'cattle breeding TF'!J63</f>
        <v>1776000</v>
      </c>
      <c r="G30">
        <f>'cattle breeding TF'!K63</f>
        <v>1956000</v>
      </c>
      <c r="H30">
        <f>'cattle breeding TF'!L63</f>
        <v>1776000</v>
      </c>
      <c r="I30">
        <f>'cattle breeding TF'!M63</f>
        <v>1776000</v>
      </c>
      <c r="J30">
        <f>'cattle breeding TF'!N63</f>
        <v>1776000</v>
      </c>
      <c r="K30">
        <f>'cattle breeding TF'!O63</f>
        <v>1776000</v>
      </c>
      <c r="L30">
        <f>'cattle breeding TF'!P63</f>
        <v>1956000</v>
      </c>
      <c r="M30">
        <f>'cattle breeding TF'!Q63</f>
        <v>1776000</v>
      </c>
      <c r="N30">
        <f>'cattle breeding TF'!R63</f>
        <v>1776000</v>
      </c>
      <c r="O30">
        <f>'cattle breeding TF'!S63</f>
        <v>1776000</v>
      </c>
      <c r="P30">
        <f>'cattle breeding TF'!T63</f>
        <v>1776000</v>
      </c>
      <c r="Q30">
        <f>'cattle breeding TF'!U63</f>
        <v>1956000</v>
      </c>
    </row>
    <row r="31" spans="1:17" x14ac:dyDescent="0.25">
      <c r="B31" t="s">
        <v>185</v>
      </c>
      <c r="C31">
        <f>'Poutry breeding TF'!G68</f>
        <v>-2150639</v>
      </c>
      <c r="D31">
        <f>'Poutry breeding TF'!H68</f>
        <v>-2150639</v>
      </c>
      <c r="E31">
        <f>'Poutry breeding TF'!I68</f>
        <v>-2150639</v>
      </c>
      <c r="F31">
        <f>'Poutry breeding TF'!J68</f>
        <v>2150639</v>
      </c>
      <c r="G31">
        <f>'Poutry breeding TF'!K68</f>
        <v>-2150639</v>
      </c>
      <c r="H31">
        <f>'Poutry breeding TF'!L68</f>
        <v>2150639</v>
      </c>
      <c r="I31">
        <f>'Poutry breeding TF'!M68</f>
        <v>2150639</v>
      </c>
      <c r="J31">
        <f>'Poutry breeding TF'!N68</f>
        <v>2150639</v>
      </c>
      <c r="K31">
        <f>'Poutry breeding TF'!O68</f>
        <v>2150639</v>
      </c>
      <c r="L31">
        <f>'Poutry breeding TF'!P68</f>
        <v>2150639</v>
      </c>
      <c r="M31">
        <f>'Poutry breeding TF'!Q68</f>
        <v>2150639</v>
      </c>
      <c r="N31">
        <f>'Poutry breeding TF'!R68</f>
        <v>2150639</v>
      </c>
      <c r="O31">
        <f>'Poutry breeding TF'!S68</f>
        <v>2150639</v>
      </c>
      <c r="P31">
        <f>'Poutry breeding TF'!T68</f>
        <v>2150639</v>
      </c>
      <c r="Q31">
        <f>'Poutry breeding TF'!U68</f>
        <v>2150639</v>
      </c>
    </row>
    <row r="32" spans="1:17" x14ac:dyDescent="0.25">
      <c r="B32" t="s">
        <v>181</v>
      </c>
      <c r="C32">
        <f>-(GH!D26)</f>
        <v>-400000</v>
      </c>
      <c r="D32">
        <f>-(GH!E26)</f>
        <v>-1350000</v>
      </c>
      <c r="E32">
        <f>-(GH!F26)</f>
        <v>-1350000</v>
      </c>
      <c r="F32">
        <f>-(GH!G26)</f>
        <v>-1350000</v>
      </c>
      <c r="G32">
        <f>GH!H26</f>
        <v>-1350000</v>
      </c>
      <c r="H32">
        <f>GH!I26</f>
        <v>-1350000</v>
      </c>
      <c r="I32">
        <f>GH!J26</f>
        <v>-1350000</v>
      </c>
      <c r="J32">
        <f>GH!K26</f>
        <v>-1350000</v>
      </c>
      <c r="K32">
        <f>GH!L26</f>
        <v>-1350000</v>
      </c>
      <c r="L32">
        <f>GH!M26</f>
        <v>-1350000</v>
      </c>
      <c r="M32">
        <f>GH!N26</f>
        <v>-1350000</v>
      </c>
      <c r="N32">
        <f>GH!O26</f>
        <v>-1350000</v>
      </c>
      <c r="O32">
        <f>GH!P26</f>
        <v>-1350000</v>
      </c>
      <c r="P32">
        <f>GH!Q26</f>
        <v>-1350000</v>
      </c>
      <c r="Q32">
        <f>GH!R26</f>
        <v>-1350000</v>
      </c>
    </row>
    <row r="33" spans="2:17" x14ac:dyDescent="0.25">
      <c r="B33" t="s">
        <v>132</v>
      </c>
      <c r="C33">
        <f t="shared" ref="C33:Q33" si="3">SUM(C27:C32)</f>
        <v>-13911458</v>
      </c>
      <c r="D33">
        <f t="shared" si="3"/>
        <v>-9749186.0999999996</v>
      </c>
      <c r="E33">
        <f t="shared" si="3"/>
        <v>-8421453</v>
      </c>
      <c r="F33">
        <f t="shared" si="3"/>
        <v>5784308</v>
      </c>
      <c r="G33">
        <f t="shared" si="3"/>
        <v>7330307.5</v>
      </c>
      <c r="H33">
        <f t="shared" si="3"/>
        <v>7410855.5</v>
      </c>
      <c r="I33">
        <f t="shared" si="3"/>
        <v>7410855.5</v>
      </c>
      <c r="J33">
        <f t="shared" si="3"/>
        <v>7410855.5</v>
      </c>
      <c r="K33">
        <f t="shared" si="3"/>
        <v>6804746</v>
      </c>
      <c r="L33">
        <f t="shared" si="3"/>
        <v>6984746</v>
      </c>
      <c r="M33">
        <f t="shared" si="3"/>
        <v>6804746</v>
      </c>
      <c r="N33">
        <f t="shared" si="3"/>
        <v>6794746</v>
      </c>
      <c r="O33">
        <f t="shared" si="3"/>
        <v>6804746</v>
      </c>
      <c r="P33">
        <f t="shared" si="3"/>
        <v>6804746</v>
      </c>
      <c r="Q33">
        <f t="shared" si="3"/>
        <v>6974746</v>
      </c>
    </row>
    <row r="34" spans="2:17" x14ac:dyDescent="0.25">
      <c r="B34" t="s">
        <v>136</v>
      </c>
      <c r="C34">
        <f>C10</f>
        <v>28836176.666666672</v>
      </c>
    </row>
    <row r="35" spans="2:17" x14ac:dyDescent="0.25">
      <c r="B35" t="s">
        <v>138</v>
      </c>
      <c r="C35" s="19">
        <f>C11</f>
        <v>2299000000</v>
      </c>
    </row>
    <row r="36" spans="2:17" x14ac:dyDescent="0.25">
      <c r="B36" t="s">
        <v>198</v>
      </c>
      <c r="C36">
        <f>C33*($C$11/$C$10)</f>
        <v>-1109108267.4275007</v>
      </c>
      <c r="D36">
        <f t="shared" ref="D36:Q36" si="4">D33*($C$11/$C$10)</f>
        <v>-777265970.55457973</v>
      </c>
      <c r="E36">
        <f>-(E33*($C$11/$C$10))</f>
        <v>671410800.07948327</v>
      </c>
      <c r="F36">
        <f t="shared" si="4"/>
        <v>461161139.55467731</v>
      </c>
      <c r="G36">
        <f t="shared" si="4"/>
        <v>584417869.86208165</v>
      </c>
      <c r="H36">
        <f t="shared" si="4"/>
        <v>590839659.20470488</v>
      </c>
      <c r="I36">
        <f t="shared" si="4"/>
        <v>590839659.20470488</v>
      </c>
      <c r="J36">
        <f t="shared" si="4"/>
        <v>590839659.20470488</v>
      </c>
      <c r="K36">
        <f t="shared" si="4"/>
        <v>542516826.51410198</v>
      </c>
      <c r="L36">
        <f t="shared" si="4"/>
        <v>556867550.07858753</v>
      </c>
      <c r="M36">
        <f t="shared" si="4"/>
        <v>542516826.51410198</v>
      </c>
      <c r="N36">
        <f t="shared" si="4"/>
        <v>541719564.09385276</v>
      </c>
      <c r="O36">
        <f t="shared" si="4"/>
        <v>542516826.51410198</v>
      </c>
      <c r="P36">
        <f t="shared" si="4"/>
        <v>542516826.51410198</v>
      </c>
      <c r="Q36">
        <f t="shared" si="4"/>
        <v>556070287.65833831</v>
      </c>
    </row>
    <row r="37" spans="2:17" ht="30" x14ac:dyDescent="0.25">
      <c r="B37" s="123" t="s">
        <v>158</v>
      </c>
      <c r="C37">
        <f>'Additional financing total'!C37</f>
        <v>-639890870.8424474</v>
      </c>
      <c r="D37">
        <f>'Additional financing total'!D37</f>
        <v>1314099822.8382792</v>
      </c>
      <c r="E37">
        <f>'Additional financing total'!E37</f>
        <v>1510750976.8921049</v>
      </c>
      <c r="F37">
        <f>'Additional financing total'!F37</f>
        <v>-1089703936.5597818</v>
      </c>
      <c r="G37">
        <f>'Additional financing total'!G37</f>
        <v>1722951937.1904709</v>
      </c>
      <c r="H37">
        <f>'Additional financing total'!H37</f>
        <v>-1089703936.5597818</v>
      </c>
      <c r="I37">
        <f>'Additional financing total'!I37</f>
        <v>-1089703936.5597818</v>
      </c>
      <c r="J37">
        <f>'Additional financing total'!J37</f>
        <v>-1089703936.5597818</v>
      </c>
      <c r="K37">
        <f>'Additional financing total'!K37</f>
        <v>-1089703936.5597818</v>
      </c>
      <c r="L37">
        <f>'Additional financing total'!L37</f>
        <v>-1089703936.5597818</v>
      </c>
      <c r="M37">
        <f>'Additional financing total'!M37</f>
        <v>-1113621809.1672575</v>
      </c>
      <c r="N37">
        <f>'Additional financing total'!N37</f>
        <v>-1114419071.5875068</v>
      </c>
      <c r="O37">
        <f>'Additional financing total'!O37</f>
        <v>-1113621809.1672575</v>
      </c>
      <c r="P37">
        <f>'Additional financing total'!P37</f>
        <v>-1113621809.1672575</v>
      </c>
      <c r="Q37">
        <f>'Additional financing total'!Q37</f>
        <v>-1090501198.980031</v>
      </c>
    </row>
    <row r="38" spans="2:17" ht="45" x14ac:dyDescent="0.25">
      <c r="B38" s="123" t="s">
        <v>201</v>
      </c>
      <c r="C38">
        <f>0.8*(C36+C37)</f>
        <v>-1399199310.6159585</v>
      </c>
      <c r="D38">
        <f>0.5*(D36+D37)</f>
        <v>268416926.14184976</v>
      </c>
      <c r="E38">
        <f>0.5*(E36+E37)</f>
        <v>1091080888.4857941</v>
      </c>
      <c r="F38">
        <f>-(F36+F37)</f>
        <v>628542797.00510454</v>
      </c>
      <c r="G38">
        <f>(G36+G37)</f>
        <v>2307369807.0525527</v>
      </c>
      <c r="H38">
        <f t="shared" ref="H38:Q38" si="5">H36+H37</f>
        <v>-498864277.35507691</v>
      </c>
      <c r="I38">
        <f t="shared" si="5"/>
        <v>-498864277.35507691</v>
      </c>
      <c r="J38">
        <f t="shared" si="5"/>
        <v>-498864277.35507691</v>
      </c>
      <c r="K38">
        <f t="shared" si="5"/>
        <v>-547187110.04567981</v>
      </c>
      <c r="L38">
        <f t="shared" si="5"/>
        <v>-532836386.48119426</v>
      </c>
      <c r="M38">
        <f t="shared" si="5"/>
        <v>-571104982.65315557</v>
      </c>
      <c r="N38">
        <f t="shared" si="5"/>
        <v>-572699507.49365401</v>
      </c>
      <c r="O38">
        <f t="shared" si="5"/>
        <v>-571104982.65315557</v>
      </c>
      <c r="P38">
        <f t="shared" si="5"/>
        <v>-571104982.65315557</v>
      </c>
      <c r="Q38">
        <f t="shared" si="5"/>
        <v>-534430911.32169271</v>
      </c>
    </row>
    <row r="39" spans="2:17" x14ac:dyDescent="0.25">
      <c r="B39" t="s">
        <v>204</v>
      </c>
      <c r="C39" s="16">
        <f>IRR(C36:Q36)</f>
        <v>0.25132209092137625</v>
      </c>
    </row>
    <row r="40" spans="2:17" x14ac:dyDescent="0.25">
      <c r="B40" t="s">
        <v>205</v>
      </c>
      <c r="C40" s="13">
        <f>NPV(0.1,C36:Q36)</f>
        <v>1684649920.8747702</v>
      </c>
    </row>
    <row r="41" spans="2:17" x14ac:dyDescent="0.25">
      <c r="C41" s="13"/>
    </row>
    <row r="42" spans="2:17" x14ac:dyDescent="0.25">
      <c r="C42" s="70"/>
    </row>
    <row r="43" spans="2:17" x14ac:dyDescent="0.25">
      <c r="B43" t="s">
        <v>206</v>
      </c>
      <c r="C43" s="8">
        <f>IRR(C38:Q38)</f>
        <v>0.20640715505469931</v>
      </c>
    </row>
    <row r="44" spans="2:17" x14ac:dyDescent="0.25">
      <c r="B44" t="s">
        <v>207</v>
      </c>
      <c r="C44" s="125">
        <f>NPV(0.1,C40:Q40)</f>
        <v>1531499928.0679727</v>
      </c>
    </row>
    <row r="45" spans="2:17" x14ac:dyDescent="0.25">
      <c r="C45" s="28"/>
    </row>
    <row r="46" spans="2:17" x14ac:dyDescent="0.25">
      <c r="C46" s="31"/>
    </row>
    <row r="48" spans="2:17" x14ac:dyDescent="0.25">
      <c r="C48" s="14"/>
    </row>
    <row r="49" spans="3:17" x14ac:dyDescent="0.25">
      <c r="C49" s="16"/>
    </row>
    <row r="50" spans="3:17" x14ac:dyDescent="0.25">
      <c r="C50" s="13">
        <f>NPV(0.1,C48:Q48)</f>
        <v>0</v>
      </c>
    </row>
    <row r="52" spans="3:17" x14ac:dyDescent="0.25"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</row>
    <row r="53" spans="3:17" x14ac:dyDescent="0.25"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</row>
    <row r="54" spans="3:17" x14ac:dyDescent="0.25">
      <c r="C54" s="16"/>
    </row>
    <row r="55" spans="3:17" x14ac:dyDescent="0.25">
      <c r="C55" s="16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128FE-7C6C-48CE-BA87-8E6369B2457F}">
  <dimension ref="A1:S28"/>
  <sheetViews>
    <sheetView workbookViewId="0">
      <selection activeCell="K36" sqref="K36"/>
    </sheetView>
  </sheetViews>
  <sheetFormatPr defaultColWidth="12.42578125" defaultRowHeight="15" x14ac:dyDescent="0.25"/>
  <sheetData>
    <row r="1" spans="1:19" ht="19.5" x14ac:dyDescent="0.3">
      <c r="A1" s="76" t="s">
        <v>175</v>
      </c>
      <c r="B1" s="77"/>
      <c r="C1" s="77"/>
      <c r="D1" s="77"/>
      <c r="E1" s="77"/>
      <c r="F1" s="77"/>
      <c r="G1" s="77"/>
      <c r="H1" s="77"/>
      <c r="I1" s="77"/>
    </row>
    <row r="2" spans="1:19" ht="19.5" x14ac:dyDescent="0.3">
      <c r="A2" s="76"/>
      <c r="B2" s="77"/>
      <c r="C2" s="77"/>
      <c r="D2" s="77"/>
      <c r="E2" s="77"/>
      <c r="F2" s="77"/>
      <c r="G2" s="77"/>
      <c r="H2" s="77"/>
      <c r="I2" s="77"/>
    </row>
    <row r="3" spans="1:19" ht="15.75" thickBot="1" x14ac:dyDescent="0.3">
      <c r="A3" s="77"/>
      <c r="B3" s="77"/>
      <c r="C3" s="77"/>
      <c r="D3" s="77"/>
      <c r="E3" s="77"/>
      <c r="F3" s="77"/>
      <c r="G3" s="77"/>
      <c r="H3" s="77"/>
      <c r="I3" s="77"/>
    </row>
    <row r="4" spans="1:19" ht="15.75" thickBot="1" x14ac:dyDescent="0.3">
      <c r="A4" s="77"/>
      <c r="B4" s="78" t="s">
        <v>116</v>
      </c>
      <c r="C4" s="79"/>
      <c r="D4" s="79" t="s">
        <v>162</v>
      </c>
      <c r="E4" s="80" t="s">
        <v>117</v>
      </c>
      <c r="F4" s="80" t="s">
        <v>118</v>
      </c>
      <c r="G4" s="80" t="s">
        <v>119</v>
      </c>
      <c r="H4" s="80" t="s">
        <v>120</v>
      </c>
      <c r="I4" s="81" t="s">
        <v>121</v>
      </c>
      <c r="J4" s="80" t="s">
        <v>122</v>
      </c>
      <c r="K4" s="80" t="s">
        <v>123</v>
      </c>
      <c r="L4" s="80" t="s">
        <v>124</v>
      </c>
      <c r="M4" s="81" t="s">
        <v>125</v>
      </c>
      <c r="N4" s="80" t="s">
        <v>126</v>
      </c>
      <c r="O4" s="80" t="s">
        <v>127</v>
      </c>
      <c r="P4" s="80" t="s">
        <v>128</v>
      </c>
      <c r="Q4" s="81" t="s">
        <v>129</v>
      </c>
      <c r="R4" s="80" t="s">
        <v>130</v>
      </c>
      <c r="S4" s="81" t="s">
        <v>131</v>
      </c>
    </row>
    <row r="5" spans="1:19" x14ac:dyDescent="0.25">
      <c r="A5" s="77"/>
      <c r="B5" s="82"/>
      <c r="C5" s="83"/>
      <c r="D5" s="84"/>
      <c r="E5" s="85">
        <v>1</v>
      </c>
      <c r="F5" s="85">
        <v>2</v>
      </c>
      <c r="G5" s="85">
        <v>3</v>
      </c>
      <c r="H5" s="85">
        <v>4</v>
      </c>
      <c r="I5" s="86">
        <v>5</v>
      </c>
    </row>
    <row r="6" spans="1:19" x14ac:dyDescent="0.25">
      <c r="A6" s="77"/>
      <c r="B6" s="82" t="s">
        <v>163</v>
      </c>
      <c r="C6" s="87"/>
      <c r="D6" s="84"/>
      <c r="E6" s="84">
        <v>-900000</v>
      </c>
      <c r="F6" s="84">
        <f>E6</f>
        <v>-900000</v>
      </c>
      <c r="G6" s="84">
        <f>F6</f>
        <v>-900000</v>
      </c>
      <c r="H6" s="84">
        <v>-30000</v>
      </c>
      <c r="I6" s="84">
        <v>-30000</v>
      </c>
      <c r="J6" s="84">
        <v>-30000</v>
      </c>
      <c r="K6" s="84">
        <v>-30000</v>
      </c>
      <c r="L6" s="84">
        <v>-30000</v>
      </c>
      <c r="M6" s="84">
        <v>-30000</v>
      </c>
      <c r="N6" s="84">
        <v>-30000</v>
      </c>
      <c r="O6" s="84">
        <v>-30000</v>
      </c>
      <c r="P6" s="84">
        <v>-30000</v>
      </c>
      <c r="Q6" s="84">
        <v>-30000</v>
      </c>
      <c r="R6" s="84">
        <v>-30000</v>
      </c>
      <c r="S6" s="84">
        <v>-30000</v>
      </c>
    </row>
    <row r="7" spans="1:19" x14ac:dyDescent="0.25">
      <c r="A7" s="77"/>
      <c r="B7" s="82" t="s">
        <v>164</v>
      </c>
      <c r="C7" s="88"/>
      <c r="D7" s="84">
        <v>-400000</v>
      </c>
      <c r="E7" s="84">
        <v>0</v>
      </c>
      <c r="F7" s="84">
        <v>0</v>
      </c>
      <c r="G7" s="84">
        <v>0</v>
      </c>
      <c r="H7" s="84">
        <v>0</v>
      </c>
      <c r="I7" s="89">
        <v>0</v>
      </c>
    </row>
    <row r="8" spans="1:19" x14ac:dyDescent="0.25">
      <c r="A8" s="77"/>
      <c r="B8" s="82"/>
      <c r="C8" s="88"/>
      <c r="D8" s="84"/>
      <c r="E8" s="84"/>
      <c r="F8" s="84"/>
      <c r="G8" s="84"/>
      <c r="H8" s="84"/>
      <c r="I8" s="89"/>
    </row>
    <row r="9" spans="1:19" ht="15.75" thickBot="1" x14ac:dyDescent="0.3">
      <c r="A9" s="77"/>
      <c r="B9" s="90" t="s">
        <v>165</v>
      </c>
      <c r="C9" s="91"/>
      <c r="D9" s="92">
        <f>D6+D7</f>
        <v>-400000</v>
      </c>
      <c r="E9" s="92">
        <f t="shared" ref="E9:S9" si="0">E6+E7</f>
        <v>-900000</v>
      </c>
      <c r="F9" s="92">
        <f t="shared" si="0"/>
        <v>-900000</v>
      </c>
      <c r="G9" s="92">
        <f t="shared" si="0"/>
        <v>-900000</v>
      </c>
      <c r="H9" s="92">
        <f t="shared" si="0"/>
        <v>-30000</v>
      </c>
      <c r="I9" s="92">
        <f t="shared" si="0"/>
        <v>-30000</v>
      </c>
      <c r="J9" s="92">
        <f t="shared" si="0"/>
        <v>-30000</v>
      </c>
      <c r="K9" s="92">
        <f t="shared" si="0"/>
        <v>-30000</v>
      </c>
      <c r="L9" s="92">
        <f t="shared" si="0"/>
        <v>-30000</v>
      </c>
      <c r="M9" s="92">
        <f t="shared" si="0"/>
        <v>-30000</v>
      </c>
      <c r="N9" s="92">
        <f t="shared" si="0"/>
        <v>-30000</v>
      </c>
      <c r="O9" s="92">
        <f t="shared" si="0"/>
        <v>-30000</v>
      </c>
      <c r="P9" s="92">
        <f t="shared" si="0"/>
        <v>-30000</v>
      </c>
      <c r="Q9" s="92">
        <f t="shared" si="0"/>
        <v>-30000</v>
      </c>
      <c r="R9" s="92">
        <f t="shared" si="0"/>
        <v>-30000</v>
      </c>
      <c r="S9" s="92">
        <f t="shared" si="0"/>
        <v>-30000</v>
      </c>
    </row>
    <row r="10" spans="1:19" x14ac:dyDescent="0.25">
      <c r="A10" s="77"/>
      <c r="B10" s="93"/>
      <c r="C10" s="94"/>
      <c r="D10" s="95"/>
      <c r="E10" s="95"/>
      <c r="F10" s="95"/>
      <c r="G10" s="95"/>
      <c r="H10" s="95"/>
      <c r="I10" s="96"/>
    </row>
    <row r="11" spans="1:19" x14ac:dyDescent="0.25">
      <c r="A11" s="77"/>
      <c r="B11" s="82" t="s">
        <v>166</v>
      </c>
      <c r="C11" s="97" t="s">
        <v>167</v>
      </c>
      <c r="D11" s="84"/>
      <c r="E11" s="84">
        <v>450000</v>
      </c>
      <c r="F11" s="84">
        <f>E11</f>
        <v>450000</v>
      </c>
      <c r="G11" s="84">
        <f t="shared" ref="G11:S11" si="1">F11</f>
        <v>450000</v>
      </c>
      <c r="H11" s="84">
        <f t="shared" si="1"/>
        <v>450000</v>
      </c>
      <c r="I11" s="84">
        <f t="shared" si="1"/>
        <v>450000</v>
      </c>
      <c r="J11" s="84">
        <f t="shared" si="1"/>
        <v>450000</v>
      </c>
      <c r="K11" s="84">
        <f t="shared" si="1"/>
        <v>450000</v>
      </c>
      <c r="L11" s="84">
        <f t="shared" si="1"/>
        <v>450000</v>
      </c>
      <c r="M11" s="84">
        <f t="shared" si="1"/>
        <v>450000</v>
      </c>
      <c r="N11" s="84">
        <f t="shared" si="1"/>
        <v>450000</v>
      </c>
      <c r="O11" s="84">
        <f t="shared" si="1"/>
        <v>450000</v>
      </c>
      <c r="P11" s="84">
        <f t="shared" si="1"/>
        <v>450000</v>
      </c>
      <c r="Q11" s="84">
        <f t="shared" si="1"/>
        <v>450000</v>
      </c>
      <c r="R11" s="84">
        <f t="shared" si="1"/>
        <v>450000</v>
      </c>
      <c r="S11" s="84">
        <f t="shared" si="1"/>
        <v>450000</v>
      </c>
    </row>
    <row r="12" spans="1:19" x14ac:dyDescent="0.25">
      <c r="A12" s="77"/>
      <c r="B12" s="82"/>
      <c r="C12" s="94"/>
      <c r="D12" s="84"/>
      <c r="E12" s="84"/>
      <c r="F12" s="84"/>
      <c r="G12" s="84"/>
      <c r="H12" s="84"/>
      <c r="I12" s="89"/>
    </row>
    <row r="13" spans="1:19" ht="15.75" thickBot="1" x14ac:dyDescent="0.3">
      <c r="A13" s="77"/>
      <c r="B13" s="90" t="s">
        <v>168</v>
      </c>
      <c r="C13" s="91"/>
      <c r="D13" s="92">
        <f>-(D11+D9)</f>
        <v>400000</v>
      </c>
      <c r="E13" s="92">
        <f>E11+E9</f>
        <v>-450000</v>
      </c>
      <c r="F13" s="92">
        <f t="shared" ref="F13:S13" si="2">F11+F9</f>
        <v>-450000</v>
      </c>
      <c r="G13" s="92">
        <f t="shared" si="2"/>
        <v>-450000</v>
      </c>
      <c r="H13" s="92">
        <f t="shared" si="2"/>
        <v>420000</v>
      </c>
      <c r="I13" s="92">
        <f t="shared" si="2"/>
        <v>420000</v>
      </c>
      <c r="J13" s="92">
        <f t="shared" si="2"/>
        <v>420000</v>
      </c>
      <c r="K13" s="92">
        <f t="shared" si="2"/>
        <v>420000</v>
      </c>
      <c r="L13" s="92">
        <f t="shared" si="2"/>
        <v>420000</v>
      </c>
      <c r="M13" s="92">
        <f t="shared" si="2"/>
        <v>420000</v>
      </c>
      <c r="N13" s="92">
        <f t="shared" si="2"/>
        <v>420000</v>
      </c>
      <c r="O13" s="92">
        <f t="shared" si="2"/>
        <v>420000</v>
      </c>
      <c r="P13" s="92">
        <f t="shared" si="2"/>
        <v>420000</v>
      </c>
      <c r="Q13" s="92">
        <f t="shared" si="2"/>
        <v>420000</v>
      </c>
      <c r="R13" s="92">
        <f t="shared" si="2"/>
        <v>420000</v>
      </c>
      <c r="S13" s="92">
        <f t="shared" si="2"/>
        <v>420000</v>
      </c>
    </row>
    <row r="14" spans="1:19" x14ac:dyDescent="0.25">
      <c r="A14" s="77"/>
      <c r="B14" s="93"/>
      <c r="C14" s="94"/>
      <c r="D14" s="95"/>
      <c r="E14" s="95"/>
      <c r="F14" s="95"/>
      <c r="G14" s="95"/>
      <c r="H14" s="95"/>
      <c r="I14" s="96"/>
    </row>
    <row r="15" spans="1:19" x14ac:dyDescent="0.25">
      <c r="A15" s="77"/>
      <c r="B15" s="82" t="s">
        <v>169</v>
      </c>
      <c r="C15" s="98">
        <v>0.03</v>
      </c>
      <c r="D15" s="84"/>
      <c r="E15" s="84"/>
      <c r="F15" s="84"/>
      <c r="G15" s="84"/>
      <c r="H15" s="84"/>
      <c r="I15" s="89"/>
      <c r="S15" s="69">
        <f>S13*(1+C15)/(C16-C15)</f>
        <v>6179999.9999999991</v>
      </c>
    </row>
    <row r="16" spans="1:19" x14ac:dyDescent="0.25">
      <c r="A16" s="77"/>
      <c r="B16" s="82" t="s">
        <v>170</v>
      </c>
      <c r="C16" s="99">
        <v>0.1</v>
      </c>
      <c r="D16" s="84"/>
      <c r="E16" s="84"/>
      <c r="F16" s="84"/>
      <c r="G16" s="84"/>
      <c r="H16" s="84"/>
      <c r="I16" s="89"/>
    </row>
    <row r="17" spans="1:19" x14ac:dyDescent="0.25">
      <c r="A17" s="100"/>
      <c r="B17" s="93" t="s">
        <v>171</v>
      </c>
      <c r="C17" s="101"/>
      <c r="D17" s="95">
        <f>-(D13+D15)</f>
        <v>-400000</v>
      </c>
      <c r="E17" s="95">
        <f t="shared" ref="E17:S17" si="3">E13+E15</f>
        <v>-450000</v>
      </c>
      <c r="F17" s="95">
        <f t="shared" si="3"/>
        <v>-450000</v>
      </c>
      <c r="G17" s="95">
        <f t="shared" si="3"/>
        <v>-450000</v>
      </c>
      <c r="H17" s="95">
        <f t="shared" si="3"/>
        <v>420000</v>
      </c>
      <c r="I17" s="95">
        <f t="shared" si="3"/>
        <v>420000</v>
      </c>
      <c r="J17" s="95">
        <f t="shared" si="3"/>
        <v>420000</v>
      </c>
      <c r="K17" s="95">
        <f t="shared" si="3"/>
        <v>420000</v>
      </c>
      <c r="L17" s="95">
        <f t="shared" si="3"/>
        <v>420000</v>
      </c>
      <c r="M17" s="95">
        <f t="shared" si="3"/>
        <v>420000</v>
      </c>
      <c r="N17" s="95">
        <f t="shared" si="3"/>
        <v>420000</v>
      </c>
      <c r="O17" s="95">
        <f t="shared" si="3"/>
        <v>420000</v>
      </c>
      <c r="P17" s="95">
        <f t="shared" si="3"/>
        <v>420000</v>
      </c>
      <c r="Q17" s="95">
        <f t="shared" si="3"/>
        <v>420000</v>
      </c>
      <c r="R17" s="95">
        <f t="shared" si="3"/>
        <v>420000</v>
      </c>
      <c r="S17" s="95">
        <f t="shared" si="3"/>
        <v>6599999.9999999991</v>
      </c>
    </row>
    <row r="18" spans="1:19" x14ac:dyDescent="0.25">
      <c r="A18" s="100"/>
      <c r="B18" s="93"/>
      <c r="C18" s="101"/>
      <c r="D18" s="95"/>
      <c r="E18" s="95"/>
      <c r="F18" s="95"/>
      <c r="G18" s="95"/>
      <c r="H18" s="95"/>
      <c r="I18" s="96"/>
    </row>
    <row r="19" spans="1:19" ht="15.75" thickBot="1" x14ac:dyDescent="0.3">
      <c r="A19" s="77"/>
      <c r="B19" s="90"/>
      <c r="C19" s="102"/>
      <c r="D19" s="92"/>
      <c r="E19" s="92"/>
      <c r="F19" s="92"/>
      <c r="G19" s="92"/>
      <c r="H19" s="92"/>
      <c r="I19" s="103"/>
    </row>
    <row r="20" spans="1:19" ht="15.75" thickBot="1" x14ac:dyDescent="0.3">
      <c r="A20" s="77"/>
      <c r="B20" s="104"/>
      <c r="C20" s="105"/>
      <c r="D20" s="106"/>
      <c r="E20" s="107"/>
      <c r="F20" s="107"/>
      <c r="G20" s="107"/>
      <c r="H20" s="107"/>
      <c r="I20" s="108"/>
    </row>
    <row r="21" spans="1:19" x14ac:dyDescent="0.25">
      <c r="A21" s="77"/>
      <c r="B21" s="109"/>
      <c r="C21" s="110"/>
      <c r="D21" s="111"/>
      <c r="E21" s="112"/>
      <c r="F21" s="112"/>
      <c r="G21" s="112"/>
      <c r="H21" s="112"/>
      <c r="I21" s="112"/>
    </row>
    <row r="22" spans="1:19" x14ac:dyDescent="0.25">
      <c r="A22" s="77"/>
      <c r="B22" s="109" t="s">
        <v>172</v>
      </c>
      <c r="C22" s="109" t="s">
        <v>59</v>
      </c>
      <c r="D22" s="113">
        <f>NPV(0.1,D17:S17)</f>
        <v>1918577.2959951516</v>
      </c>
      <c r="E22" s="114"/>
      <c r="F22" s="112"/>
      <c r="G22" s="112"/>
      <c r="H22" s="112"/>
      <c r="I22" s="112"/>
    </row>
    <row r="23" spans="1:19" x14ac:dyDescent="0.25">
      <c r="A23" s="77"/>
      <c r="B23" s="109" t="s">
        <v>173</v>
      </c>
      <c r="C23" s="109" t="s">
        <v>58</v>
      </c>
      <c r="D23" s="110">
        <f>IRR(D17:S17)</f>
        <v>0.21393484058787249</v>
      </c>
      <c r="E23" s="115"/>
      <c r="F23" s="115"/>
      <c r="G23" s="115"/>
      <c r="H23" s="115"/>
      <c r="I23" s="115"/>
    </row>
    <row r="26" spans="1:19" x14ac:dyDescent="0.25">
      <c r="B26" t="s">
        <v>174</v>
      </c>
      <c r="D26" s="14">
        <f>-(D9+D15)</f>
        <v>400000</v>
      </c>
      <c r="E26" s="14">
        <f>-(E9+E13)</f>
        <v>1350000</v>
      </c>
      <c r="F26" s="14">
        <f>-(F9+F13)</f>
        <v>1350000</v>
      </c>
      <c r="G26" s="14">
        <f>-(E9+E13)</f>
        <v>1350000</v>
      </c>
      <c r="H26" s="14">
        <f>E9+E13</f>
        <v>-1350000</v>
      </c>
      <c r="I26" s="14">
        <f>E9+E13</f>
        <v>-1350000</v>
      </c>
      <c r="J26" s="14">
        <f>I26</f>
        <v>-1350000</v>
      </c>
      <c r="K26" s="14">
        <f>J26</f>
        <v>-1350000</v>
      </c>
      <c r="L26" s="14">
        <f t="shared" ref="L26:R26" si="4">K26</f>
        <v>-1350000</v>
      </c>
      <c r="M26" s="14">
        <f t="shared" si="4"/>
        <v>-1350000</v>
      </c>
      <c r="N26" s="14">
        <f t="shared" si="4"/>
        <v>-1350000</v>
      </c>
      <c r="O26" s="14">
        <f t="shared" si="4"/>
        <v>-1350000</v>
      </c>
      <c r="P26" s="14">
        <f t="shared" si="4"/>
        <v>-1350000</v>
      </c>
      <c r="Q26" s="14">
        <f t="shared" si="4"/>
        <v>-1350000</v>
      </c>
      <c r="R26" s="14">
        <f t="shared" si="4"/>
        <v>-1350000</v>
      </c>
      <c r="S26" s="14">
        <f t="shared" ref="S26" si="5">S9+S15</f>
        <v>6149999.9999999991</v>
      </c>
    </row>
    <row r="27" spans="1:19" x14ac:dyDescent="0.25">
      <c r="C27" t="s">
        <v>53</v>
      </c>
      <c r="D27" s="113">
        <f>-(NPV(0.1,D26:S26))</f>
        <v>1234787.806900146</v>
      </c>
    </row>
    <row r="28" spans="1:19" x14ac:dyDescent="0.25">
      <c r="C28" t="s">
        <v>52</v>
      </c>
      <c r="D28" s="110">
        <f>IRR(D26:S26)</f>
        <v>0.17820160658299833</v>
      </c>
    </row>
  </sheetData>
  <dataValidations count="2">
    <dataValidation type="list" allowBlank="1" showInputMessage="1" showErrorMessage="1" sqref="C12" xr:uid="{CA8F7EA7-92DE-4006-9B9A-3707216AF04E}">
      <formula1>$B$28:$B$29</formula1>
    </dataValidation>
    <dataValidation type="list" allowBlank="1" showInputMessage="1" showErrorMessage="1" sqref="C11" xr:uid="{A6E89F00-6CBA-4636-85F0-72004773FF8A}">
      <formula1>$K$11:$L$11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Summary</vt:lpstr>
      <vt:lpstr>prices and other data</vt:lpstr>
      <vt:lpstr>Cool   Reflective Roof Coating</vt:lpstr>
      <vt:lpstr>Ceiling Installation + Roof Ins</vt:lpstr>
      <vt:lpstr>Cross Ventilation Improvements</vt:lpstr>
      <vt:lpstr>External Shading (Awnings, Over</vt:lpstr>
      <vt:lpstr>Efficient Fans (DC or Energy-Ef</vt:lpstr>
      <vt:lpstr>Honey</vt:lpstr>
      <vt:lpstr>School kitchen gardening</vt:lpstr>
      <vt:lpstr>Additional financing total</vt:lpstr>
      <vt:lpstr>Peanut TF</vt:lpstr>
      <vt:lpstr>Cassava TF</vt:lpstr>
      <vt:lpstr>Cassava processing TF</vt:lpstr>
      <vt:lpstr>cattle breeding TF</vt:lpstr>
      <vt:lpstr>Poutry breeding TF</vt:lpstr>
      <vt:lpstr>Sensitivity analysis</vt:lpstr>
      <vt:lpstr>TF Total Financing</vt:lpstr>
      <vt:lpstr>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Siddika Bhuiyanmishu</dc:creator>
  <cp:lastModifiedBy>Siddika Bhuiyanmishu</cp:lastModifiedBy>
  <dcterms:created xsi:type="dcterms:W3CDTF">2023-11-02T13:50:06Z</dcterms:created>
  <dcterms:modified xsi:type="dcterms:W3CDTF">2026-05-11T12:59:19Z</dcterms:modified>
</cp:coreProperties>
</file>