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u\Documents\Work permit UCSIS\final documents\Naima Farah Apu docs\Nick documents\Things to copy\Energy Efficient Building Electrification\"/>
    </mc:Choice>
  </mc:AlternateContent>
  <xr:revisionPtr revIDLastSave="0" documentId="13_ncr:1_{65AF3527-E587-49EB-8B73-C24B2651E34C}" xr6:coauthVersionLast="47" xr6:coauthVersionMax="47" xr10:uidLastSave="{00000000-0000-0000-0000-000000000000}"/>
  <bookViews>
    <workbookView xWindow="-120" yWindow="-120" windowWidth="29040" windowHeight="15720" xr2:uid="{D0275268-32C2-481A-840B-3CB49A4B83E7}"/>
  </bookViews>
  <sheets>
    <sheet name="Summary" sheetId="1" r:id="rId1"/>
    <sheet name="prices and other data" sheetId="2" r:id="rId2"/>
    <sheet name="Roof and Ceilling insulation" sheetId="5" r:id="rId3"/>
    <sheet name="Wall insulation" sheetId="9" r:id="rId4"/>
    <sheet name="Efficient Windows (Double Tripl" sheetId="3" r:id="rId5"/>
    <sheet name="Efficient heating systems" sheetId="4" r:id="rId6"/>
    <sheet name="Air Sealing   Draft Proofing" sheetId="6" r:id="rId7"/>
    <sheet name=" financing total" sheetId="11" r:id="rId8"/>
    <sheet name="Sensitivity analysis" sheetId="18" r:id="rId9"/>
    <sheet name="Efficient buildings" sheetId="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9" l="1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F62" i="9"/>
  <c r="C3" i="11"/>
  <c r="D3" i="11"/>
  <c r="E3" i="11"/>
  <c r="F3" i="11"/>
  <c r="C4" i="11"/>
  <c r="D4" i="11"/>
  <c r="E4" i="11"/>
  <c r="F4" i="11"/>
  <c r="C5" i="11"/>
  <c r="D5" i="11"/>
  <c r="E5" i="11"/>
  <c r="F5" i="11"/>
  <c r="C7" i="11"/>
  <c r="F58" i="4"/>
  <c r="E38" i="4"/>
  <c r="D37" i="4"/>
  <c r="D15" i="3"/>
  <c r="F5" i="9"/>
  <c r="F4" i="9"/>
  <c r="E44" i="5"/>
  <c r="E43" i="5"/>
  <c r="E42" i="5"/>
  <c r="D38" i="5"/>
  <c r="E38" i="5"/>
  <c r="F37" i="5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B38" i="5"/>
  <c r="F10" i="5"/>
  <c r="G10" i="5" s="1"/>
  <c r="H10" i="5" s="1"/>
  <c r="F9" i="5"/>
  <c r="G9" i="5" s="1"/>
  <c r="H9" i="5" s="1"/>
  <c r="F8" i="5"/>
  <c r="G8" i="5" s="1"/>
  <c r="H8" i="5" s="1"/>
  <c r="L5" i="1"/>
  <c r="D39" i="4"/>
  <c r="E39" i="4"/>
  <c r="F17" i="4"/>
  <c r="E67" i="18"/>
  <c r="D66" i="18"/>
  <c r="C11" i="18"/>
  <c r="V4" i="18"/>
  <c r="C4" i="18"/>
  <c r="C34" i="18" s="1"/>
  <c r="F39" i="4" l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U39" i="4" s="1"/>
  <c r="C10" i="11" l="1"/>
  <c r="C32" i="11" s="1"/>
  <c r="R6" i="11"/>
  <c r="S6" i="11"/>
  <c r="V10" i="11"/>
  <c r="L10" i="1" l="1"/>
  <c r="L8" i="1"/>
  <c r="L7" i="1"/>
  <c r="L9" i="1"/>
  <c r="L11" i="1"/>
  <c r="C16" i="11"/>
  <c r="F58" i="3" l="1"/>
  <c r="D50" i="3"/>
  <c r="E45" i="3"/>
  <c r="J4" i="3"/>
  <c r="I4" i="3" s="1"/>
  <c r="H4" i="3" s="1"/>
  <c r="G20" i="6" l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H5" i="6"/>
  <c r="I5" i="6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H61" i="6"/>
  <c r="H60" i="6"/>
  <c r="D60" i="6"/>
  <c r="F60" i="6" s="1"/>
  <c r="F61" i="6" s="1"/>
  <c r="D59" i="6"/>
  <c r="D58" i="6"/>
  <c r="D57" i="6"/>
  <c r="F56" i="6"/>
  <c r="K55" i="6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J55" i="6"/>
  <c r="I55" i="6"/>
  <c r="H55" i="6"/>
  <c r="G55" i="6"/>
  <c r="F54" i="6"/>
  <c r="I54" i="6" s="1"/>
  <c r="F52" i="6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E50" i="6"/>
  <c r="F50" i="6" s="1"/>
  <c r="D50" i="6"/>
  <c r="F49" i="6"/>
  <c r="E49" i="6"/>
  <c r="D49" i="6"/>
  <c r="T48" i="6"/>
  <c r="S48" i="6"/>
  <c r="Q48" i="6"/>
  <c r="N48" i="6"/>
  <c r="M48" i="6"/>
  <c r="K48" i="6"/>
  <c r="J48" i="6"/>
  <c r="H48" i="6"/>
  <c r="E48" i="6"/>
  <c r="D48" i="6"/>
  <c r="P46" i="6"/>
  <c r="P48" i="6" s="1"/>
  <c r="E46" i="6"/>
  <c r="E45" i="6"/>
  <c r="D45" i="6"/>
  <c r="E44" i="6"/>
  <c r="D44" i="6"/>
  <c r="E43" i="6"/>
  <c r="D43" i="6"/>
  <c r="E42" i="6"/>
  <c r="D42" i="6"/>
  <c r="U41" i="6"/>
  <c r="P41" i="6"/>
  <c r="N41" i="6"/>
  <c r="S41" i="6" s="1"/>
  <c r="M41" i="6"/>
  <c r="R41" i="6" s="1"/>
  <c r="L41" i="6"/>
  <c r="Q41" i="6" s="1"/>
  <c r="K41" i="6"/>
  <c r="J41" i="6"/>
  <c r="O41" i="6" s="1"/>
  <c r="T41" i="6" s="1"/>
  <c r="J40" i="6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F40" i="6"/>
  <c r="E40" i="6"/>
  <c r="G39" i="6"/>
  <c r="F39" i="6"/>
  <c r="E39" i="6"/>
  <c r="D39" i="6"/>
  <c r="H38" i="6"/>
  <c r="I38" i="6" s="1"/>
  <c r="J38" i="6" s="1"/>
  <c r="K38" i="6" s="1"/>
  <c r="L38" i="6" s="1"/>
  <c r="M38" i="6" s="1"/>
  <c r="N38" i="6" s="1"/>
  <c r="O38" i="6" s="1"/>
  <c r="P38" i="6" s="1"/>
  <c r="G27" i="6"/>
  <c r="E26" i="6"/>
  <c r="G21" i="6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N19" i="6"/>
  <c r="O19" i="6" s="1"/>
  <c r="P19" i="6" s="1"/>
  <c r="Q19" i="6" s="1"/>
  <c r="R19" i="6" s="1"/>
  <c r="S19" i="6" s="1"/>
  <c r="T19" i="6" s="1"/>
  <c r="U19" i="6" s="1"/>
  <c r="M19" i="6"/>
  <c r="L19" i="6"/>
  <c r="K19" i="6"/>
  <c r="G19" i="6"/>
  <c r="H19" i="6" s="1"/>
  <c r="I19" i="6" s="1"/>
  <c r="G17" i="6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F15" i="6"/>
  <c r="F14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G12" i="6"/>
  <c r="G13" i="6" s="1"/>
  <c r="F12" i="6"/>
  <c r="F13" i="6" s="1"/>
  <c r="F16" i="6" s="1"/>
  <c r="F51" i="6" s="1"/>
  <c r="G51" i="6" s="1"/>
  <c r="G8" i="6"/>
  <c r="F8" i="6"/>
  <c r="K7" i="6"/>
  <c r="L7" i="6" s="1"/>
  <c r="M7" i="6" s="1"/>
  <c r="N7" i="6" s="1"/>
  <c r="O7" i="6" s="1"/>
  <c r="P7" i="6" s="1"/>
  <c r="Q7" i="6" s="1"/>
  <c r="R7" i="6" s="1"/>
  <c r="S7" i="6" s="1"/>
  <c r="T7" i="6" s="1"/>
  <c r="U7" i="6" s="1"/>
  <c r="J7" i="6"/>
  <c r="I7" i="6"/>
  <c r="H7" i="6"/>
  <c r="G7" i="6"/>
  <c r="L6" i="6"/>
  <c r="M6" i="6" s="1"/>
  <c r="N6" i="6" s="1"/>
  <c r="O6" i="6" s="1"/>
  <c r="P6" i="6" s="1"/>
  <c r="Q6" i="6" s="1"/>
  <c r="R6" i="6" s="1"/>
  <c r="S6" i="6" s="1"/>
  <c r="T6" i="6" s="1"/>
  <c r="U6" i="6" s="1"/>
  <c r="K6" i="6"/>
  <c r="J4" i="6"/>
  <c r="J39" i="6" s="1"/>
  <c r="K39" i="6" s="1"/>
  <c r="L39" i="6" s="1"/>
  <c r="H3" i="6"/>
  <c r="I3" i="6" s="1"/>
  <c r="J3" i="6" s="1"/>
  <c r="K3" i="6" s="1"/>
  <c r="L3" i="6" s="1"/>
  <c r="M3" i="6" s="1"/>
  <c r="N3" i="6" s="1"/>
  <c r="O3" i="6" s="1"/>
  <c r="P3" i="6" s="1"/>
  <c r="F58" i="9"/>
  <c r="F57" i="9"/>
  <c r="H57" i="9" s="1"/>
  <c r="I57" i="9" s="1"/>
  <c r="J57" i="9" s="1"/>
  <c r="K57" i="9" s="1"/>
  <c r="L57" i="9" s="1"/>
  <c r="M57" i="9" s="1"/>
  <c r="N57" i="9" s="1"/>
  <c r="O57" i="9" s="1"/>
  <c r="P57" i="9" s="1"/>
  <c r="Q57" i="9" s="1"/>
  <c r="R57" i="9" s="1"/>
  <c r="S57" i="9" s="1"/>
  <c r="T57" i="9" s="1"/>
  <c r="U57" i="9" s="1"/>
  <c r="F60" i="9"/>
  <c r="G66" i="9"/>
  <c r="D65" i="9"/>
  <c r="F65" i="9" s="1"/>
  <c r="F66" i="9" s="1"/>
  <c r="D64" i="9"/>
  <c r="D63" i="9"/>
  <c r="D62" i="9"/>
  <c r="F59" i="9"/>
  <c r="E55" i="9"/>
  <c r="D55" i="9"/>
  <c r="F55" i="9" s="1"/>
  <c r="E54" i="9"/>
  <c r="D54" i="9"/>
  <c r="F54" i="9" s="1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E53" i="9"/>
  <c r="D53" i="9"/>
  <c r="E52" i="9"/>
  <c r="F52" i="9" s="1"/>
  <c r="D52" i="9"/>
  <c r="P51" i="9"/>
  <c r="E51" i="9"/>
  <c r="D51" i="9"/>
  <c r="E50" i="9"/>
  <c r="D50" i="9"/>
  <c r="E49" i="9"/>
  <c r="D49" i="9"/>
  <c r="E48" i="9"/>
  <c r="D48" i="9"/>
  <c r="E47" i="9"/>
  <c r="D47" i="9"/>
  <c r="F45" i="9"/>
  <c r="H45" i="9" s="1"/>
  <c r="I45" i="9" s="1"/>
  <c r="J45" i="9" s="1"/>
  <c r="K45" i="9" s="1"/>
  <c r="L45" i="9" s="1"/>
  <c r="M45" i="9" s="1"/>
  <c r="N45" i="9" s="1"/>
  <c r="O45" i="9" s="1"/>
  <c r="P45" i="9" s="1"/>
  <c r="Q45" i="9" s="1"/>
  <c r="R45" i="9" s="1"/>
  <c r="S45" i="9" s="1"/>
  <c r="T45" i="9" s="1"/>
  <c r="U45" i="9" s="1"/>
  <c r="F44" i="9"/>
  <c r="I44" i="9" s="1"/>
  <c r="H43" i="9"/>
  <c r="I43" i="9" s="1"/>
  <c r="J43" i="9" s="1"/>
  <c r="K43" i="9" s="1"/>
  <c r="L43" i="9" s="1"/>
  <c r="M43" i="9" s="1"/>
  <c r="N43" i="9" s="1"/>
  <c r="O43" i="9" s="1"/>
  <c r="P43" i="9" s="1"/>
  <c r="E26" i="9"/>
  <c r="F26" i="9" s="1"/>
  <c r="F27" i="9" s="1"/>
  <c r="G21" i="9"/>
  <c r="H21" i="9" s="1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S21" i="9" s="1"/>
  <c r="T21" i="9" s="1"/>
  <c r="U21" i="9" s="1"/>
  <c r="G18" i="9"/>
  <c r="H18" i="9" s="1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S18" i="9" s="1"/>
  <c r="T18" i="9" s="1"/>
  <c r="U18" i="9" s="1"/>
  <c r="H17" i="9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S17" i="9" s="1"/>
  <c r="T17" i="9" s="1"/>
  <c r="U17" i="9" s="1"/>
  <c r="H16" i="9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S16" i="9" s="1"/>
  <c r="T16" i="9" s="1"/>
  <c r="U16" i="9" s="1"/>
  <c r="F14" i="9"/>
  <c r="F13" i="9"/>
  <c r="U12" i="9"/>
  <c r="T12" i="9"/>
  <c r="S12" i="9"/>
  <c r="R12" i="9"/>
  <c r="Q12" i="9"/>
  <c r="O12" i="9"/>
  <c r="N12" i="9"/>
  <c r="M12" i="9"/>
  <c r="L12" i="9"/>
  <c r="K12" i="9"/>
  <c r="J12" i="9"/>
  <c r="I12" i="9"/>
  <c r="H12" i="9"/>
  <c r="G11" i="9"/>
  <c r="F11" i="9"/>
  <c r="P10" i="9"/>
  <c r="P12" i="9" s="1"/>
  <c r="G10" i="9"/>
  <c r="G12" i="9" s="1"/>
  <c r="F10" i="9"/>
  <c r="F12" i="9" s="1"/>
  <c r="F15" i="9" s="1"/>
  <c r="F56" i="9" s="1"/>
  <c r="F6" i="9"/>
  <c r="H5" i="9"/>
  <c r="I5" i="9" s="1"/>
  <c r="J4" i="9"/>
  <c r="I4" i="9"/>
  <c r="H4" i="9"/>
  <c r="G6" i="9"/>
  <c r="H3" i="9"/>
  <c r="I3" i="9" s="1"/>
  <c r="J3" i="9" s="1"/>
  <c r="K3" i="9" s="1"/>
  <c r="L3" i="9" s="1"/>
  <c r="M3" i="9" s="1"/>
  <c r="N3" i="9" s="1"/>
  <c r="O3" i="9" s="1"/>
  <c r="P3" i="9" s="1"/>
  <c r="F46" i="6" l="1"/>
  <c r="G46" i="6"/>
  <c r="G48" i="6" s="1"/>
  <c r="H40" i="6"/>
  <c r="H39" i="6"/>
  <c r="I39" i="6"/>
  <c r="H12" i="6"/>
  <c r="H13" i="6" s="1"/>
  <c r="I4" i="6"/>
  <c r="J54" i="6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G16" i="6"/>
  <c r="H16" i="6" s="1"/>
  <c r="I16" i="6" s="1"/>
  <c r="J16" i="6" s="1"/>
  <c r="K16" i="6" s="1"/>
  <c r="L16" i="6" s="1"/>
  <c r="J8" i="6"/>
  <c r="F23" i="6"/>
  <c r="B8" i="1" s="1"/>
  <c r="J18" i="6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K4" i="6"/>
  <c r="L4" i="6" s="1"/>
  <c r="L8" i="6" s="1"/>
  <c r="M39" i="6"/>
  <c r="L42" i="6"/>
  <c r="J42" i="6"/>
  <c r="H51" i="6"/>
  <c r="F42" i="6"/>
  <c r="G40" i="6"/>
  <c r="K42" i="6"/>
  <c r="H26" i="6"/>
  <c r="F26" i="6"/>
  <c r="J56" i="6"/>
  <c r="K56" i="6" s="1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I56" i="6"/>
  <c r="H56" i="6"/>
  <c r="G56" i="6"/>
  <c r="G54" i="6"/>
  <c r="F48" i="6"/>
  <c r="H54" i="6"/>
  <c r="G15" i="9"/>
  <c r="H15" i="9"/>
  <c r="I15" i="9" s="1"/>
  <c r="H6" i="9"/>
  <c r="I6" i="9"/>
  <c r="H20" i="9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H44" i="9"/>
  <c r="H47" i="9" s="1"/>
  <c r="H26" i="9"/>
  <c r="J5" i="9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G17" i="9"/>
  <c r="G51" i="9"/>
  <c r="H65" i="9"/>
  <c r="G52" i="9"/>
  <c r="F23" i="9"/>
  <c r="I47" i="9"/>
  <c r="F61" i="9"/>
  <c r="F51" i="9"/>
  <c r="F53" i="9" s="1"/>
  <c r="H56" i="9"/>
  <c r="G26" i="9"/>
  <c r="G27" i="9" s="1"/>
  <c r="K4" i="9"/>
  <c r="H66" i="9"/>
  <c r="I65" i="9"/>
  <c r="J60" i="9"/>
  <c r="K60" i="9" s="1"/>
  <c r="L60" i="9" s="1"/>
  <c r="M60" i="9" s="1"/>
  <c r="N60" i="9" s="1"/>
  <c r="O60" i="9" s="1"/>
  <c r="P60" i="9" s="1"/>
  <c r="Q60" i="9" s="1"/>
  <c r="R60" i="9" s="1"/>
  <c r="S60" i="9" s="1"/>
  <c r="T60" i="9" s="1"/>
  <c r="U60" i="9" s="1"/>
  <c r="I60" i="9"/>
  <c r="G60" i="9"/>
  <c r="G56" i="9"/>
  <c r="H60" i="9"/>
  <c r="J59" i="9"/>
  <c r="K59" i="9" s="1"/>
  <c r="L59" i="9" s="1"/>
  <c r="M59" i="9" s="1"/>
  <c r="N59" i="9" s="1"/>
  <c r="O59" i="9" s="1"/>
  <c r="P59" i="9" s="1"/>
  <c r="Q59" i="9" s="1"/>
  <c r="R59" i="9" s="1"/>
  <c r="S59" i="9" s="1"/>
  <c r="T59" i="9" s="1"/>
  <c r="U59" i="9" s="1"/>
  <c r="I59" i="9"/>
  <c r="G20" i="9"/>
  <c r="G44" i="9"/>
  <c r="G47" i="9" s="1"/>
  <c r="F47" i="9"/>
  <c r="G59" i="9"/>
  <c r="H59" i="9"/>
  <c r="J44" i="9"/>
  <c r="I40" i="6" l="1"/>
  <c r="I23" i="9"/>
  <c r="F28" i="9"/>
  <c r="B5" i="1"/>
  <c r="G18" i="6"/>
  <c r="H18" i="6" s="1"/>
  <c r="H4" i="6"/>
  <c r="H8" i="6" s="1"/>
  <c r="I8" i="6"/>
  <c r="I42" i="6" s="1"/>
  <c r="F53" i="6"/>
  <c r="F57" i="6" s="1"/>
  <c r="F62" i="6" s="1"/>
  <c r="M4" i="6"/>
  <c r="M8" i="6" s="1"/>
  <c r="K23" i="6"/>
  <c r="K8" i="6"/>
  <c r="J23" i="6"/>
  <c r="J30" i="6" s="1"/>
  <c r="I51" i="6"/>
  <c r="G42" i="6"/>
  <c r="L23" i="6"/>
  <c r="L30" i="6" s="1"/>
  <c r="M16" i="6"/>
  <c r="H42" i="6"/>
  <c r="H27" i="6"/>
  <c r="I26" i="6"/>
  <c r="I60" i="6"/>
  <c r="N39" i="6"/>
  <c r="M42" i="6"/>
  <c r="F27" i="6"/>
  <c r="F28" i="6" s="1"/>
  <c r="G60" i="6"/>
  <c r="G61" i="6" s="1"/>
  <c r="J53" i="6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J15" i="9"/>
  <c r="J23" i="9" s="1"/>
  <c r="G53" i="9"/>
  <c r="G23" i="9"/>
  <c r="G28" i="9" s="1"/>
  <c r="I26" i="9"/>
  <c r="H27" i="9"/>
  <c r="I30" i="9"/>
  <c r="J6" i="9"/>
  <c r="H23" i="9"/>
  <c r="J47" i="9"/>
  <c r="K44" i="9"/>
  <c r="K6" i="9"/>
  <c r="L4" i="9"/>
  <c r="I66" i="9"/>
  <c r="J65" i="9"/>
  <c r="J61" i="9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I61" i="9"/>
  <c r="H61" i="9"/>
  <c r="G61" i="9"/>
  <c r="F67" i="9"/>
  <c r="G58" i="9"/>
  <c r="H58" i="9"/>
  <c r="I58" i="9" s="1"/>
  <c r="J58" i="9" s="1"/>
  <c r="K58" i="9" s="1"/>
  <c r="L58" i="9" s="1"/>
  <c r="M58" i="9" s="1"/>
  <c r="N58" i="9" s="1"/>
  <c r="O58" i="9" s="1"/>
  <c r="P58" i="9" s="1"/>
  <c r="Q58" i="9" s="1"/>
  <c r="R58" i="9" s="1"/>
  <c r="S58" i="9" s="1"/>
  <c r="T58" i="9" s="1"/>
  <c r="U58" i="9" s="1"/>
  <c r="I56" i="9"/>
  <c r="G23" i="6" l="1"/>
  <c r="G28" i="6" s="1"/>
  <c r="N4" i="6"/>
  <c r="K15" i="9"/>
  <c r="K23" i="9" s="1"/>
  <c r="K30" i="9" s="1"/>
  <c r="G67" i="9"/>
  <c r="K30" i="6"/>
  <c r="G53" i="6"/>
  <c r="G57" i="6" s="1"/>
  <c r="G64" i="6" s="1"/>
  <c r="G65" i="6" s="1"/>
  <c r="C29" i="11" s="1"/>
  <c r="H53" i="6"/>
  <c r="I53" i="6" s="1"/>
  <c r="I57" i="6" s="1"/>
  <c r="J51" i="6"/>
  <c r="I27" i="6"/>
  <c r="J26" i="6"/>
  <c r="J60" i="6"/>
  <c r="J61" i="6" s="1"/>
  <c r="N16" i="6"/>
  <c r="M23" i="6"/>
  <c r="M30" i="6" s="1"/>
  <c r="O4" i="6"/>
  <c r="N8" i="6"/>
  <c r="I18" i="6"/>
  <c r="I23" i="6" s="1"/>
  <c r="H23" i="6"/>
  <c r="N42" i="6"/>
  <c r="O39" i="6"/>
  <c r="I61" i="6"/>
  <c r="G30" i="9"/>
  <c r="G31" i="9" s="1"/>
  <c r="H28" i="9"/>
  <c r="H30" i="9"/>
  <c r="H31" i="9" s="1"/>
  <c r="I27" i="9"/>
  <c r="I28" i="9" s="1"/>
  <c r="J26" i="9"/>
  <c r="J66" i="9"/>
  <c r="K65" i="9"/>
  <c r="K47" i="9"/>
  <c r="L44" i="9"/>
  <c r="J30" i="9"/>
  <c r="L6" i="9"/>
  <c r="M4" i="9"/>
  <c r="J56" i="9"/>
  <c r="G62" i="6" l="1"/>
  <c r="G30" i="6"/>
  <c r="G31" i="6" s="1"/>
  <c r="L15" i="9"/>
  <c r="I31" i="9"/>
  <c r="G69" i="9"/>
  <c r="G70" i="9" s="1"/>
  <c r="C26" i="11" s="1"/>
  <c r="H57" i="6"/>
  <c r="H62" i="6" s="1"/>
  <c r="K60" i="6"/>
  <c r="K61" i="6" s="1"/>
  <c r="J27" i="6"/>
  <c r="K26" i="6"/>
  <c r="P4" i="6"/>
  <c r="O8" i="6"/>
  <c r="I62" i="6"/>
  <c r="I64" i="6"/>
  <c r="I65" i="6" s="1"/>
  <c r="E29" i="11" s="1"/>
  <c r="I30" i="6"/>
  <c r="I31" i="6" s="1"/>
  <c r="E7" i="11" s="1"/>
  <c r="I28" i="6"/>
  <c r="O42" i="6"/>
  <c r="P39" i="6"/>
  <c r="K51" i="6"/>
  <c r="J57" i="6"/>
  <c r="N23" i="6"/>
  <c r="O16" i="6"/>
  <c r="H28" i="6"/>
  <c r="H30" i="6"/>
  <c r="H31" i="6" s="1"/>
  <c r="D7" i="11" s="1"/>
  <c r="K26" i="9"/>
  <c r="J27" i="9"/>
  <c r="J28" i="9" s="1"/>
  <c r="N4" i="9"/>
  <c r="M6" i="9"/>
  <c r="M44" i="9"/>
  <c r="L47" i="9"/>
  <c r="H67" i="9"/>
  <c r="H69" i="9"/>
  <c r="H70" i="9" s="1"/>
  <c r="D26" i="11" s="1"/>
  <c r="L23" i="9"/>
  <c r="L30" i="9" s="1"/>
  <c r="M15" i="9"/>
  <c r="K56" i="9"/>
  <c r="K66" i="9"/>
  <c r="L65" i="9"/>
  <c r="I67" i="9"/>
  <c r="I69" i="9"/>
  <c r="I70" i="9" s="1"/>
  <c r="E26" i="11" s="1"/>
  <c r="H64" i="6" l="1"/>
  <c r="H65" i="6" s="1"/>
  <c r="D29" i="11" s="1"/>
  <c r="J62" i="6"/>
  <c r="J64" i="6"/>
  <c r="J65" i="6" s="1"/>
  <c r="F29" i="11" s="1"/>
  <c r="P16" i="6"/>
  <c r="O23" i="6"/>
  <c r="K57" i="6"/>
  <c r="L51" i="6"/>
  <c r="L60" i="6"/>
  <c r="L61" i="6" s="1"/>
  <c r="K27" i="6"/>
  <c r="K31" i="6" s="1"/>
  <c r="G7" i="11" s="1"/>
  <c r="L26" i="6"/>
  <c r="J28" i="6"/>
  <c r="J31" i="6"/>
  <c r="F7" i="11" s="1"/>
  <c r="P42" i="6"/>
  <c r="Q39" i="6"/>
  <c r="N30" i="6"/>
  <c r="P8" i="6"/>
  <c r="Q4" i="6"/>
  <c r="L26" i="9"/>
  <c r="K27" i="9"/>
  <c r="J31" i="9"/>
  <c r="M23" i="9"/>
  <c r="M30" i="9" s="1"/>
  <c r="N15" i="9"/>
  <c r="N44" i="9"/>
  <c r="M47" i="9"/>
  <c r="L66" i="9"/>
  <c r="M65" i="9"/>
  <c r="O4" i="9"/>
  <c r="N6" i="9"/>
  <c r="J67" i="9"/>
  <c r="J69" i="9"/>
  <c r="J70" i="9" s="1"/>
  <c r="F26" i="11" s="1"/>
  <c r="L56" i="9"/>
  <c r="P23" i="6" l="1"/>
  <c r="Q16" i="6"/>
  <c r="M60" i="6"/>
  <c r="M26" i="6"/>
  <c r="L27" i="6"/>
  <c r="O30" i="6"/>
  <c r="K28" i="6"/>
  <c r="M51" i="6"/>
  <c r="L57" i="6"/>
  <c r="R4" i="6"/>
  <c r="Q8" i="6"/>
  <c r="Q42" i="6"/>
  <c r="R39" i="6"/>
  <c r="K62" i="6"/>
  <c r="K64" i="6"/>
  <c r="K65" i="6" s="1"/>
  <c r="G29" i="11" s="1"/>
  <c r="K31" i="9"/>
  <c r="G4" i="11" s="1"/>
  <c r="K28" i="9"/>
  <c r="M26" i="9"/>
  <c r="L27" i="9"/>
  <c r="M56" i="9"/>
  <c r="O44" i="9"/>
  <c r="N47" i="9"/>
  <c r="N23" i="9"/>
  <c r="O15" i="9"/>
  <c r="K67" i="9"/>
  <c r="K69" i="9"/>
  <c r="K70" i="9" s="1"/>
  <c r="G26" i="11" s="1"/>
  <c r="P4" i="9"/>
  <c r="O6" i="9"/>
  <c r="M66" i="9"/>
  <c r="N65" i="9"/>
  <c r="Q23" i="6" l="1"/>
  <c r="Q30" i="6" s="1"/>
  <c r="R16" i="6"/>
  <c r="P30" i="6"/>
  <c r="N51" i="6"/>
  <c r="M57" i="6"/>
  <c r="N60" i="6"/>
  <c r="N61" i="6" s="1"/>
  <c r="N26" i="6"/>
  <c r="M27" i="6"/>
  <c r="M61" i="6"/>
  <c r="S39" i="6"/>
  <c r="R42" i="6"/>
  <c r="R8" i="6"/>
  <c r="S4" i="6"/>
  <c r="L62" i="6"/>
  <c r="L64" i="6"/>
  <c r="L65" i="6" s="1"/>
  <c r="H29" i="11" s="1"/>
  <c r="L28" i="6"/>
  <c r="L31" i="6"/>
  <c r="H7" i="11" s="1"/>
  <c r="L28" i="9"/>
  <c r="L31" i="9"/>
  <c r="H4" i="11" s="1"/>
  <c r="N26" i="9"/>
  <c r="M27" i="9"/>
  <c r="P44" i="9"/>
  <c r="O47" i="9"/>
  <c r="P6" i="9"/>
  <c r="Q4" i="9"/>
  <c r="L67" i="9"/>
  <c r="L69" i="9"/>
  <c r="L70" i="9" s="1"/>
  <c r="H26" i="11" s="1"/>
  <c r="N30" i="9"/>
  <c r="N56" i="9"/>
  <c r="N66" i="9"/>
  <c r="O65" i="9"/>
  <c r="O23" i="9"/>
  <c r="P15" i="9"/>
  <c r="N27" i="6" l="1"/>
  <c r="O26" i="6"/>
  <c r="O60" i="6"/>
  <c r="O51" i="6"/>
  <c r="N57" i="6"/>
  <c r="T39" i="6"/>
  <c r="S42" i="6"/>
  <c r="M31" i="6"/>
  <c r="I7" i="11" s="1"/>
  <c r="M28" i="6"/>
  <c r="T4" i="6"/>
  <c r="S8" i="6"/>
  <c r="R23" i="6"/>
  <c r="R30" i="6" s="1"/>
  <c r="S16" i="6"/>
  <c r="M62" i="6"/>
  <c r="M64" i="6"/>
  <c r="M65" i="6" s="1"/>
  <c r="I29" i="11" s="1"/>
  <c r="M31" i="9"/>
  <c r="I4" i="11" s="1"/>
  <c r="M28" i="9"/>
  <c r="O26" i="9"/>
  <c r="N27" i="9"/>
  <c r="N28" i="9" s="1"/>
  <c r="R4" i="9"/>
  <c r="Q6" i="9"/>
  <c r="O66" i="9"/>
  <c r="P65" i="9"/>
  <c r="Q15" i="9"/>
  <c r="P23" i="9"/>
  <c r="O56" i="9"/>
  <c r="M67" i="9"/>
  <c r="M69" i="9"/>
  <c r="M70" i="9" s="1"/>
  <c r="I26" i="11" s="1"/>
  <c r="P47" i="9"/>
  <c r="Q44" i="9"/>
  <c r="O30" i="9"/>
  <c r="T16" i="6" l="1"/>
  <c r="S23" i="6"/>
  <c r="S30" i="6" s="1"/>
  <c r="U39" i="6"/>
  <c r="U42" i="6" s="1"/>
  <c r="T42" i="6"/>
  <c r="N28" i="6"/>
  <c r="N31" i="6"/>
  <c r="J7" i="11" s="1"/>
  <c r="T8" i="6"/>
  <c r="U4" i="6"/>
  <c r="U8" i="6" s="1"/>
  <c r="O61" i="6"/>
  <c r="O27" i="6"/>
  <c r="P26" i="6"/>
  <c r="P60" i="6"/>
  <c r="P61" i="6" s="1"/>
  <c r="N62" i="6"/>
  <c r="N64" i="6"/>
  <c r="N65" i="6" s="1"/>
  <c r="J29" i="11" s="1"/>
  <c r="P51" i="6"/>
  <c r="O57" i="6"/>
  <c r="P30" i="9"/>
  <c r="O27" i="9"/>
  <c r="O28" i="9" s="1"/>
  <c r="P26" i="9"/>
  <c r="N31" i="9"/>
  <c r="J4" i="11" s="1"/>
  <c r="Q23" i="9"/>
  <c r="Q30" i="9" s="1"/>
  <c r="R15" i="9"/>
  <c r="P66" i="9"/>
  <c r="Q65" i="9"/>
  <c r="N67" i="9"/>
  <c r="N69" i="9"/>
  <c r="N70" i="9" s="1"/>
  <c r="J26" i="11" s="1"/>
  <c r="R6" i="9"/>
  <c r="S4" i="9"/>
  <c r="P56" i="9"/>
  <c r="Q47" i="9"/>
  <c r="R44" i="9"/>
  <c r="O31" i="9" l="1"/>
  <c r="K4" i="11" s="1"/>
  <c r="Q51" i="6"/>
  <c r="P57" i="6"/>
  <c r="O62" i="6"/>
  <c r="O64" i="6"/>
  <c r="O65" i="6" s="1"/>
  <c r="K29" i="11" s="1"/>
  <c r="T23" i="6"/>
  <c r="U16" i="6"/>
  <c r="U23" i="6" s="1"/>
  <c r="U30" i="6" s="1"/>
  <c r="P27" i="6"/>
  <c r="Q26" i="6"/>
  <c r="Q60" i="6"/>
  <c r="Q61" i="6" s="1"/>
  <c r="O28" i="6"/>
  <c r="O31" i="6"/>
  <c r="K7" i="11" s="1"/>
  <c r="P27" i="9"/>
  <c r="P28" i="9" s="1"/>
  <c r="Q26" i="9"/>
  <c r="Q56" i="9"/>
  <c r="R65" i="9"/>
  <c r="Q66" i="9"/>
  <c r="R47" i="9"/>
  <c r="S44" i="9"/>
  <c r="R23" i="9"/>
  <c r="R30" i="9" s="1"/>
  <c r="S15" i="9"/>
  <c r="O67" i="9"/>
  <c r="O69" i="9"/>
  <c r="O70" i="9" s="1"/>
  <c r="K26" i="11" s="1"/>
  <c r="S6" i="9"/>
  <c r="T4" i="9"/>
  <c r="Q57" i="6" l="1"/>
  <c r="R51" i="6"/>
  <c r="Q27" i="6"/>
  <c r="R26" i="6"/>
  <c r="R60" i="6"/>
  <c r="R61" i="6" s="1"/>
  <c r="P28" i="6"/>
  <c r="P31" i="6"/>
  <c r="L7" i="11" s="1"/>
  <c r="T30" i="6"/>
  <c r="P62" i="6"/>
  <c r="P64" i="6"/>
  <c r="P65" i="6" s="1"/>
  <c r="L29" i="11" s="1"/>
  <c r="R26" i="9"/>
  <c r="Q27" i="9"/>
  <c r="P31" i="9"/>
  <c r="L4" i="11" s="1"/>
  <c r="T44" i="9"/>
  <c r="S47" i="9"/>
  <c r="S65" i="9"/>
  <c r="R66" i="9"/>
  <c r="P67" i="9"/>
  <c r="P69" i="9"/>
  <c r="P70" i="9" s="1"/>
  <c r="L26" i="11" s="1"/>
  <c r="R56" i="9"/>
  <c r="T15" i="9"/>
  <c r="S23" i="9"/>
  <c r="T6" i="9"/>
  <c r="U4" i="9"/>
  <c r="U6" i="9" s="1"/>
  <c r="S60" i="6" l="1"/>
  <c r="S61" i="6" s="1"/>
  <c r="S26" i="6"/>
  <c r="R27" i="6"/>
  <c r="Q31" i="6"/>
  <c r="M7" i="11" s="1"/>
  <c r="Q28" i="6"/>
  <c r="S51" i="6"/>
  <c r="R57" i="6"/>
  <c r="Q62" i="6"/>
  <c r="Q64" i="6"/>
  <c r="Q65" i="6" s="1"/>
  <c r="M29" i="11" s="1"/>
  <c r="Q31" i="9"/>
  <c r="M4" i="11" s="1"/>
  <c r="Q28" i="9"/>
  <c r="S26" i="9"/>
  <c r="R27" i="9"/>
  <c r="S66" i="9"/>
  <c r="T65" i="9"/>
  <c r="T23" i="9"/>
  <c r="U15" i="9"/>
  <c r="U23" i="9" s="1"/>
  <c r="S30" i="9"/>
  <c r="S56" i="9"/>
  <c r="Q67" i="9"/>
  <c r="Q69" i="9"/>
  <c r="Q70" i="9" s="1"/>
  <c r="M26" i="11" s="1"/>
  <c r="T47" i="9"/>
  <c r="U44" i="9"/>
  <c r="U47" i="9" s="1"/>
  <c r="S57" i="6" l="1"/>
  <c r="T51" i="6"/>
  <c r="R31" i="6"/>
  <c r="N7" i="11" s="1"/>
  <c r="R28" i="6"/>
  <c r="R62" i="6"/>
  <c r="R64" i="6"/>
  <c r="R65" i="6" s="1"/>
  <c r="N29" i="11" s="1"/>
  <c r="T60" i="6"/>
  <c r="T61" i="6" s="1"/>
  <c r="S27" i="6"/>
  <c r="T26" i="6"/>
  <c r="S27" i="9"/>
  <c r="S28" i="9" s="1"/>
  <c r="T26" i="9"/>
  <c r="R31" i="9"/>
  <c r="N4" i="11" s="1"/>
  <c r="R28" i="9"/>
  <c r="T66" i="9"/>
  <c r="U65" i="9"/>
  <c r="R67" i="9"/>
  <c r="R69" i="9"/>
  <c r="R70" i="9" s="1"/>
  <c r="N26" i="11" s="1"/>
  <c r="T56" i="9"/>
  <c r="T30" i="9"/>
  <c r="U30" i="9"/>
  <c r="S62" i="6" l="1"/>
  <c r="S64" i="6"/>
  <c r="S65" i="6" s="1"/>
  <c r="O29" i="11" s="1"/>
  <c r="S28" i="6"/>
  <c r="S31" i="6"/>
  <c r="O7" i="11" s="1"/>
  <c r="T57" i="6"/>
  <c r="U51" i="6"/>
  <c r="U57" i="6" s="1"/>
  <c r="U60" i="6"/>
  <c r="T27" i="6"/>
  <c r="U26" i="6"/>
  <c r="S31" i="9"/>
  <c r="O4" i="11" s="1"/>
  <c r="U26" i="9"/>
  <c r="T27" i="9"/>
  <c r="T28" i="9" s="1"/>
  <c r="U56" i="9"/>
  <c r="S67" i="9"/>
  <c r="S69" i="9"/>
  <c r="S70" i="9" s="1"/>
  <c r="O26" i="11" s="1"/>
  <c r="U66" i="9"/>
  <c r="V65" i="9"/>
  <c r="U27" i="6" l="1"/>
  <c r="V26" i="6"/>
  <c r="T28" i="6"/>
  <c r="T31" i="6"/>
  <c r="P7" i="11" s="1"/>
  <c r="U61" i="6"/>
  <c r="V60" i="6"/>
  <c r="U62" i="6"/>
  <c r="U64" i="6"/>
  <c r="T62" i="6"/>
  <c r="T64" i="6"/>
  <c r="T65" i="6" s="1"/>
  <c r="P29" i="11" s="1"/>
  <c r="V26" i="9"/>
  <c r="U27" i="9"/>
  <c r="T31" i="9"/>
  <c r="P4" i="11" s="1"/>
  <c r="U67" i="9"/>
  <c r="U69" i="9"/>
  <c r="U70" i="9" s="1"/>
  <c r="Q26" i="11" s="1"/>
  <c r="T67" i="9"/>
  <c r="T69" i="9"/>
  <c r="T70" i="9" s="1"/>
  <c r="P26" i="11" s="1"/>
  <c r="U65" i="6" l="1"/>
  <c r="Q29" i="11" s="1"/>
  <c r="G66" i="6"/>
  <c r="D8" i="1" s="1"/>
  <c r="U28" i="6"/>
  <c r="U31" i="6"/>
  <c r="Q7" i="11" s="1"/>
  <c r="U28" i="9"/>
  <c r="U31" i="9"/>
  <c r="Q4" i="11" s="1"/>
  <c r="G72" i="9"/>
  <c r="C5" i="1" s="1"/>
  <c r="G71" i="9"/>
  <c r="D6" i="1" s="1"/>
  <c r="G67" i="6" l="1"/>
  <c r="C8" i="1" s="1"/>
  <c r="G33" i="6"/>
  <c r="E8" i="1" s="1"/>
  <c r="G32" i="6"/>
  <c r="F8" i="1" s="1"/>
  <c r="G33" i="9"/>
  <c r="E5" i="1" s="1"/>
  <c r="G32" i="9"/>
  <c r="F5" i="1" s="1"/>
  <c r="D52" i="5" l="1"/>
  <c r="D48" i="5"/>
  <c r="E19" i="5"/>
  <c r="F19" i="5" s="1"/>
  <c r="F20" i="5" s="1"/>
  <c r="G53" i="5"/>
  <c r="D51" i="5"/>
  <c r="D50" i="5"/>
  <c r="D49" i="5"/>
  <c r="E47" i="5"/>
  <c r="D47" i="5"/>
  <c r="E46" i="5"/>
  <c r="D46" i="5"/>
  <c r="U45" i="5"/>
  <c r="T45" i="5"/>
  <c r="S45" i="5"/>
  <c r="R45" i="5"/>
  <c r="Q45" i="5"/>
  <c r="O45" i="5"/>
  <c r="N45" i="5"/>
  <c r="M45" i="5"/>
  <c r="L45" i="5"/>
  <c r="K45" i="5"/>
  <c r="J45" i="5"/>
  <c r="I45" i="5"/>
  <c r="H45" i="5"/>
  <c r="E45" i="5"/>
  <c r="D45" i="5"/>
  <c r="D44" i="5"/>
  <c r="P43" i="5"/>
  <c r="P45" i="5" s="1"/>
  <c r="D43" i="5"/>
  <c r="F42" i="5"/>
  <c r="G42" i="5" s="1"/>
  <c r="D42" i="5"/>
  <c r="E41" i="5"/>
  <c r="E40" i="5"/>
  <c r="D40" i="5"/>
  <c r="E39" i="5"/>
  <c r="D39" i="5"/>
  <c r="H36" i="5"/>
  <c r="I36" i="5" s="1"/>
  <c r="J36" i="5" s="1"/>
  <c r="K36" i="5" s="1"/>
  <c r="L36" i="5" s="1"/>
  <c r="M36" i="5" s="1"/>
  <c r="N36" i="5" s="1"/>
  <c r="O36" i="5" s="1"/>
  <c r="P36" i="5" s="1"/>
  <c r="F14" i="5"/>
  <c r="F13" i="5"/>
  <c r="U12" i="5"/>
  <c r="S12" i="5"/>
  <c r="R12" i="5"/>
  <c r="N12" i="5"/>
  <c r="M12" i="5"/>
  <c r="K12" i="5"/>
  <c r="J12" i="5"/>
  <c r="I12" i="5"/>
  <c r="G11" i="5"/>
  <c r="H11" i="5" s="1"/>
  <c r="F11" i="5"/>
  <c r="P10" i="5"/>
  <c r="P12" i="5" s="1"/>
  <c r="H12" i="5"/>
  <c r="F4" i="5"/>
  <c r="G4" i="5" s="1"/>
  <c r="G6" i="5" s="1"/>
  <c r="H3" i="5"/>
  <c r="I3" i="5" s="1"/>
  <c r="J3" i="5" s="1"/>
  <c r="K3" i="5" s="1"/>
  <c r="L3" i="5" s="1"/>
  <c r="M3" i="5" s="1"/>
  <c r="N3" i="5" s="1"/>
  <c r="O3" i="5" s="1"/>
  <c r="P3" i="5" s="1"/>
  <c r="F6" i="4"/>
  <c r="J6" i="4" s="1"/>
  <c r="K6" i="4" s="1"/>
  <c r="G59" i="4"/>
  <c r="H58" i="4"/>
  <c r="D58" i="4"/>
  <c r="F59" i="4" s="1"/>
  <c r="D57" i="4"/>
  <c r="D56" i="4"/>
  <c r="D55" i="4"/>
  <c r="E54" i="4"/>
  <c r="I54" i="4" s="1"/>
  <c r="E53" i="4"/>
  <c r="I53" i="4" s="1"/>
  <c r="E52" i="4"/>
  <c r="F52" i="4" s="1"/>
  <c r="E51" i="4"/>
  <c r="F51" i="4" s="1"/>
  <c r="E50" i="4"/>
  <c r="J50" i="4" s="1"/>
  <c r="K50" i="4" s="1"/>
  <c r="L50" i="4" s="1"/>
  <c r="M50" i="4" s="1"/>
  <c r="N50" i="4" s="1"/>
  <c r="O50" i="4" s="1"/>
  <c r="P50" i="4" s="1"/>
  <c r="Q50" i="4" s="1"/>
  <c r="R50" i="4" s="1"/>
  <c r="S50" i="4" s="1"/>
  <c r="T50" i="4" s="1"/>
  <c r="U50" i="4" s="1"/>
  <c r="E48" i="4"/>
  <c r="D48" i="4"/>
  <c r="F48" i="4" s="1"/>
  <c r="E47" i="4"/>
  <c r="D47" i="4"/>
  <c r="F47" i="4" s="1"/>
  <c r="U46" i="4"/>
  <c r="T46" i="4"/>
  <c r="S46" i="4"/>
  <c r="R46" i="4"/>
  <c r="Q46" i="4"/>
  <c r="O46" i="4"/>
  <c r="N46" i="4"/>
  <c r="M46" i="4"/>
  <c r="L46" i="4"/>
  <c r="K46" i="4"/>
  <c r="J46" i="4"/>
  <c r="I46" i="4"/>
  <c r="H46" i="4"/>
  <c r="E46" i="4"/>
  <c r="D46" i="4"/>
  <c r="E45" i="4"/>
  <c r="D45" i="4"/>
  <c r="P44" i="4"/>
  <c r="P46" i="4" s="1"/>
  <c r="E44" i="4"/>
  <c r="D44" i="4"/>
  <c r="E43" i="4"/>
  <c r="D43" i="4"/>
  <c r="E42" i="4"/>
  <c r="D42" i="4"/>
  <c r="E41" i="4"/>
  <c r="D41" i="4"/>
  <c r="E40" i="4"/>
  <c r="D40" i="4"/>
  <c r="D38" i="4"/>
  <c r="E37" i="4"/>
  <c r="F37" i="4" s="1"/>
  <c r="I37" i="4" s="1"/>
  <c r="O36" i="4"/>
  <c r="P36" i="4" s="1"/>
  <c r="M36" i="4"/>
  <c r="N36" i="4" s="1"/>
  <c r="I36" i="4"/>
  <c r="J36" i="4" s="1"/>
  <c r="K36" i="4" s="1"/>
  <c r="L36" i="4" s="1"/>
  <c r="H36" i="4"/>
  <c r="E25" i="4"/>
  <c r="H25" i="4" s="1"/>
  <c r="H26" i="4" s="1"/>
  <c r="F21" i="4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F20" i="4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F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J18" i="4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I18" i="4"/>
  <c r="H18" i="4"/>
  <c r="G18" i="4"/>
  <c r="F15" i="4"/>
  <c r="F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2" i="4"/>
  <c r="F12" i="4"/>
  <c r="P11" i="4"/>
  <c r="G11" i="4"/>
  <c r="F11" i="4"/>
  <c r="J5" i="4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I5" i="4"/>
  <c r="H5" i="4"/>
  <c r="F5" i="4"/>
  <c r="G5" i="4" s="1"/>
  <c r="G7" i="4" s="1"/>
  <c r="F4" i="4"/>
  <c r="H3" i="4"/>
  <c r="I3" i="4" s="1"/>
  <c r="J3" i="4" s="1"/>
  <c r="K3" i="4" s="1"/>
  <c r="L3" i="4" s="1"/>
  <c r="M3" i="4" s="1"/>
  <c r="N3" i="4" s="1"/>
  <c r="O3" i="4" s="1"/>
  <c r="P3" i="4" s="1"/>
  <c r="G58" i="3"/>
  <c r="H58" i="3" s="1"/>
  <c r="I58" i="3" s="1"/>
  <c r="J58" i="3" s="1"/>
  <c r="K58" i="3" s="1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D56" i="3"/>
  <c r="E59" i="3"/>
  <c r="F57" i="3"/>
  <c r="H57" i="3" s="1"/>
  <c r="I57" i="3" s="1"/>
  <c r="J57" i="3" s="1"/>
  <c r="K57" i="3" s="1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E57" i="3"/>
  <c r="E56" i="3"/>
  <c r="H55" i="3"/>
  <c r="F55" i="3"/>
  <c r="G55" i="3" s="1"/>
  <c r="E55" i="3"/>
  <c r="F54" i="3"/>
  <c r="F53" i="3"/>
  <c r="K52" i="3"/>
  <c r="J52" i="3"/>
  <c r="I52" i="3"/>
  <c r="E51" i="3"/>
  <c r="F51" i="3" s="1"/>
  <c r="E50" i="3"/>
  <c r="G50" i="3" s="1"/>
  <c r="H50" i="3" s="1"/>
  <c r="D45" i="3"/>
  <c r="E44" i="3"/>
  <c r="D44" i="3"/>
  <c r="J43" i="3"/>
  <c r="K43" i="3" s="1"/>
  <c r="L43" i="3" s="1"/>
  <c r="M43" i="3" s="1"/>
  <c r="N43" i="3" s="1"/>
  <c r="O43" i="3" s="1"/>
  <c r="P43" i="3" s="1"/>
  <c r="I43" i="3"/>
  <c r="H43" i="3"/>
  <c r="E23" i="3"/>
  <c r="F63" i="3" s="1"/>
  <c r="G18" i="3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H17" i="3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G17" i="3"/>
  <c r="G57" i="3" s="1"/>
  <c r="F16" i="3"/>
  <c r="F14" i="3"/>
  <c r="F13" i="3"/>
  <c r="K12" i="3"/>
  <c r="J12" i="3"/>
  <c r="I12" i="3"/>
  <c r="F11" i="3"/>
  <c r="G11" i="3" s="1"/>
  <c r="H11" i="3" s="1"/>
  <c r="F10" i="3"/>
  <c r="G10" i="3" s="1"/>
  <c r="H10" i="3" s="1"/>
  <c r="F5" i="3"/>
  <c r="G5" i="3" s="1"/>
  <c r="H3" i="3"/>
  <c r="I3" i="3" s="1"/>
  <c r="J3" i="3" s="1"/>
  <c r="K3" i="3" s="1"/>
  <c r="L3" i="3" s="1"/>
  <c r="M3" i="3" s="1"/>
  <c r="N3" i="3" s="1"/>
  <c r="O3" i="3" s="1"/>
  <c r="P3" i="3" s="1"/>
  <c r="H21" i="4" l="1"/>
  <c r="G13" i="4"/>
  <c r="B7" i="1" s="1"/>
  <c r="G21" i="4"/>
  <c r="I21" i="4"/>
  <c r="G19" i="4"/>
  <c r="G51" i="4"/>
  <c r="H51" i="4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I50" i="4"/>
  <c r="J38" i="4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H12" i="3"/>
  <c r="F15" i="3" s="1"/>
  <c r="H15" i="3" s="1"/>
  <c r="I15" i="3" s="1"/>
  <c r="I24" i="3" s="1"/>
  <c r="G63" i="3"/>
  <c r="H63" i="3" s="1"/>
  <c r="I63" i="3" s="1"/>
  <c r="J63" i="3" s="1"/>
  <c r="K63" i="3" s="1"/>
  <c r="L63" i="3" s="1"/>
  <c r="M63" i="3" s="1"/>
  <c r="N63" i="3" s="1"/>
  <c r="O63" i="3" s="1"/>
  <c r="P63" i="3" s="1"/>
  <c r="Q63" i="3" s="1"/>
  <c r="R63" i="3" s="1"/>
  <c r="S63" i="3" s="1"/>
  <c r="T63" i="3" s="1"/>
  <c r="U63" i="3" s="1"/>
  <c r="G16" i="3"/>
  <c r="G45" i="3"/>
  <c r="G46" i="3" s="1"/>
  <c r="I45" i="3"/>
  <c r="H5" i="3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I44" i="3"/>
  <c r="E52" i="5"/>
  <c r="H52" i="5" s="1"/>
  <c r="H53" i="4"/>
  <c r="J53" i="4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F53" i="4"/>
  <c r="G53" i="4" s="1"/>
  <c r="F13" i="4"/>
  <c r="E16" i="4" s="1"/>
  <c r="F44" i="4"/>
  <c r="H38" i="4"/>
  <c r="L6" i="4"/>
  <c r="N6" i="4"/>
  <c r="R6" i="4" s="1"/>
  <c r="H16" i="3"/>
  <c r="I16" i="3" s="1"/>
  <c r="H23" i="3"/>
  <c r="I23" i="3" s="1"/>
  <c r="F50" i="3"/>
  <c r="F52" i="3" s="1"/>
  <c r="F23" i="3"/>
  <c r="G23" i="3" s="1"/>
  <c r="G51" i="3"/>
  <c r="F46" i="3"/>
  <c r="L10" i="5"/>
  <c r="O10" i="5" s="1"/>
  <c r="T10" i="5" s="1"/>
  <c r="T12" i="5" s="1"/>
  <c r="G12" i="5"/>
  <c r="F47" i="5"/>
  <c r="H19" i="5"/>
  <c r="H20" i="5" s="1"/>
  <c r="G43" i="5"/>
  <c r="G19" i="5"/>
  <c r="G20" i="5" s="1"/>
  <c r="F52" i="5"/>
  <c r="F53" i="5" s="1"/>
  <c r="F43" i="5"/>
  <c r="F12" i="5"/>
  <c r="E15" i="5" s="1"/>
  <c r="G44" i="5"/>
  <c r="F38" i="5"/>
  <c r="I38" i="5" s="1"/>
  <c r="I39" i="5" s="1"/>
  <c r="F46" i="5"/>
  <c r="F6" i="5"/>
  <c r="J4" i="5"/>
  <c r="I4" i="5"/>
  <c r="I6" i="5" s="1"/>
  <c r="H4" i="5"/>
  <c r="H6" i="5" s="1"/>
  <c r="I52" i="5"/>
  <c r="H53" i="5"/>
  <c r="F44" i="5"/>
  <c r="F25" i="4"/>
  <c r="G25" i="4" s="1"/>
  <c r="G26" i="4" s="1"/>
  <c r="O6" i="4"/>
  <c r="S6" i="4" s="1"/>
  <c r="I38" i="4"/>
  <c r="I40" i="4" s="1"/>
  <c r="G17" i="4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J52" i="4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I52" i="4"/>
  <c r="H52" i="4"/>
  <c r="G52" i="4"/>
  <c r="G45" i="4"/>
  <c r="F45" i="4"/>
  <c r="I4" i="4"/>
  <c r="I7" i="4" s="1"/>
  <c r="F7" i="4"/>
  <c r="H4" i="4"/>
  <c r="H7" i="4" s="1"/>
  <c r="J4" i="4"/>
  <c r="F26" i="4"/>
  <c r="I25" i="4"/>
  <c r="G44" i="4"/>
  <c r="F50" i="4"/>
  <c r="J54" i="4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H37" i="4"/>
  <c r="H40" i="4" s="1"/>
  <c r="F38" i="4"/>
  <c r="G38" i="4" s="1"/>
  <c r="G40" i="4" s="1"/>
  <c r="H50" i="4"/>
  <c r="I58" i="4"/>
  <c r="H59" i="4"/>
  <c r="J37" i="4"/>
  <c r="F54" i="4"/>
  <c r="G54" i="4" s="1"/>
  <c r="H54" i="4"/>
  <c r="F56" i="3"/>
  <c r="H56" i="3" s="1"/>
  <c r="J56" i="3" s="1"/>
  <c r="G6" i="3"/>
  <c r="I55" i="3"/>
  <c r="F6" i="3"/>
  <c r="H45" i="3"/>
  <c r="J23" i="3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G46" i="4" l="1"/>
  <c r="F46" i="4"/>
  <c r="E49" i="4"/>
  <c r="F49" i="4" s="1"/>
  <c r="G49" i="4" s="1"/>
  <c r="H49" i="4" s="1"/>
  <c r="H55" i="4" s="1"/>
  <c r="H60" i="4" s="1"/>
  <c r="F16" i="4"/>
  <c r="J15" i="3"/>
  <c r="K15" i="3" s="1"/>
  <c r="H24" i="3"/>
  <c r="G15" i="3"/>
  <c r="G24" i="3" s="1"/>
  <c r="F24" i="3"/>
  <c r="F64" i="3" s="1"/>
  <c r="G64" i="3" s="1"/>
  <c r="H64" i="3" s="1"/>
  <c r="I64" i="3" s="1"/>
  <c r="J64" i="3" s="1"/>
  <c r="K64" i="3" s="1"/>
  <c r="L64" i="3" s="1"/>
  <c r="M64" i="3" s="1"/>
  <c r="N64" i="3" s="1"/>
  <c r="O64" i="3" s="1"/>
  <c r="P64" i="3" s="1"/>
  <c r="Q64" i="3" s="1"/>
  <c r="R64" i="3" s="1"/>
  <c r="S64" i="3" s="1"/>
  <c r="T64" i="3" s="1"/>
  <c r="U64" i="3" s="1"/>
  <c r="F20" i="3"/>
  <c r="F25" i="3" s="1"/>
  <c r="G52" i="3"/>
  <c r="H51" i="3"/>
  <c r="H52" i="3" s="1"/>
  <c r="J45" i="3"/>
  <c r="K45" i="3" s="1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H6" i="3"/>
  <c r="G38" i="5"/>
  <c r="G39" i="5" s="1"/>
  <c r="J38" i="5"/>
  <c r="J39" i="5" s="1"/>
  <c r="F39" i="5"/>
  <c r="I19" i="5"/>
  <c r="F15" i="5"/>
  <c r="H38" i="5"/>
  <c r="H39" i="5" s="1"/>
  <c r="P6" i="4"/>
  <c r="T6" i="4" s="1"/>
  <c r="M6" i="4"/>
  <c r="Q6" i="4" s="1"/>
  <c r="U6" i="4" s="1"/>
  <c r="H44" i="3"/>
  <c r="J16" i="3"/>
  <c r="L16" i="3" s="1"/>
  <c r="V23" i="3"/>
  <c r="I56" i="3"/>
  <c r="G56" i="3"/>
  <c r="F59" i="3"/>
  <c r="F60" i="3" s="1"/>
  <c r="F45" i="5"/>
  <c r="E48" i="5" s="1"/>
  <c r="F48" i="5" s="1"/>
  <c r="G48" i="5" s="1"/>
  <c r="G49" i="5" s="1"/>
  <c r="G45" i="5"/>
  <c r="I20" i="5"/>
  <c r="J19" i="5"/>
  <c r="I53" i="5"/>
  <c r="J52" i="5"/>
  <c r="K4" i="5"/>
  <c r="J6" i="5"/>
  <c r="K38" i="5"/>
  <c r="K39" i="5" s="1"/>
  <c r="I59" i="4"/>
  <c r="J58" i="4"/>
  <c r="F40" i="4"/>
  <c r="I26" i="4"/>
  <c r="J25" i="4"/>
  <c r="G50" i="4"/>
  <c r="J7" i="4"/>
  <c r="K4" i="4"/>
  <c r="K37" i="4"/>
  <c r="J40" i="4"/>
  <c r="L56" i="3"/>
  <c r="K56" i="3"/>
  <c r="H19" i="3"/>
  <c r="G19" i="3"/>
  <c r="G59" i="3" s="1"/>
  <c r="H59" i="3" s="1"/>
  <c r="J55" i="3"/>
  <c r="I6" i="3"/>
  <c r="G55" i="4" l="1"/>
  <c r="G62" i="4" s="1"/>
  <c r="G63" i="4" s="1"/>
  <c r="C28" i="11" s="1"/>
  <c r="F55" i="4"/>
  <c r="F60" i="4" s="1"/>
  <c r="I49" i="4"/>
  <c r="J49" i="4" s="1"/>
  <c r="F22" i="4"/>
  <c r="F27" i="4" s="1"/>
  <c r="H16" i="4"/>
  <c r="G16" i="4"/>
  <c r="G22" i="4" s="1"/>
  <c r="G29" i="4" s="1"/>
  <c r="G30" i="4" s="1"/>
  <c r="C6" i="11" s="1"/>
  <c r="J24" i="3"/>
  <c r="F65" i="3"/>
  <c r="H48" i="5"/>
  <c r="I48" i="5" s="1"/>
  <c r="J48" i="5" s="1"/>
  <c r="K48" i="5" s="1"/>
  <c r="F49" i="5"/>
  <c r="F16" i="5"/>
  <c r="H15" i="5"/>
  <c r="G15" i="5"/>
  <c r="G16" i="5" s="1"/>
  <c r="G21" i="5" s="1"/>
  <c r="F54" i="5"/>
  <c r="H62" i="4"/>
  <c r="H63" i="4" s="1"/>
  <c r="D28" i="11" s="1"/>
  <c r="H46" i="3"/>
  <c r="K16" i="3"/>
  <c r="H49" i="5"/>
  <c r="H54" i="5" s="1"/>
  <c r="G20" i="3"/>
  <c r="G25" i="3" s="1"/>
  <c r="G54" i="5"/>
  <c r="G56" i="5"/>
  <c r="G57" i="5" s="1"/>
  <c r="C25" i="11" s="1"/>
  <c r="L38" i="5"/>
  <c r="L39" i="5" s="1"/>
  <c r="J20" i="5"/>
  <c r="K19" i="5"/>
  <c r="J53" i="5"/>
  <c r="K52" i="5"/>
  <c r="L4" i="5"/>
  <c r="K6" i="5"/>
  <c r="J26" i="4"/>
  <c r="K25" i="4"/>
  <c r="L37" i="4"/>
  <c r="K40" i="4"/>
  <c r="J59" i="4"/>
  <c r="K58" i="4"/>
  <c r="L4" i="4"/>
  <c r="K7" i="4"/>
  <c r="I19" i="3"/>
  <c r="H20" i="3"/>
  <c r="K55" i="3"/>
  <c r="I59" i="3"/>
  <c r="H60" i="3"/>
  <c r="H65" i="3" s="1"/>
  <c r="J44" i="3"/>
  <c r="I46" i="3"/>
  <c r="L15" i="3"/>
  <c r="K24" i="3"/>
  <c r="M16" i="3"/>
  <c r="N16" i="3"/>
  <c r="J6" i="3"/>
  <c r="K4" i="3"/>
  <c r="N56" i="3"/>
  <c r="M56" i="3"/>
  <c r="G60" i="3"/>
  <c r="G60" i="4" l="1"/>
  <c r="I55" i="4"/>
  <c r="I62" i="4" s="1"/>
  <c r="I63" i="4" s="1"/>
  <c r="E28" i="11" s="1"/>
  <c r="G27" i="4"/>
  <c r="H22" i="4"/>
  <c r="I16" i="4"/>
  <c r="H25" i="3"/>
  <c r="B6" i="1"/>
  <c r="I49" i="5"/>
  <c r="I54" i="5" s="1"/>
  <c r="J49" i="5"/>
  <c r="J56" i="5" s="1"/>
  <c r="I56" i="5"/>
  <c r="I57" i="5" s="1"/>
  <c r="E25" i="11" s="1"/>
  <c r="G23" i="5"/>
  <c r="G24" i="5" s="1"/>
  <c r="I15" i="5"/>
  <c r="H16" i="5"/>
  <c r="J57" i="5"/>
  <c r="F25" i="11" s="1"/>
  <c r="F21" i="5"/>
  <c r="B4" i="1"/>
  <c r="C8" i="18"/>
  <c r="C39" i="18"/>
  <c r="C20" i="11"/>
  <c r="C45" i="11"/>
  <c r="H56" i="5"/>
  <c r="H57" i="5" s="1"/>
  <c r="D25" i="11" s="1"/>
  <c r="J54" i="5"/>
  <c r="M4" i="5"/>
  <c r="L6" i="5"/>
  <c r="M38" i="5"/>
  <c r="M39" i="5" s="1"/>
  <c r="K53" i="5"/>
  <c r="L52" i="5"/>
  <c r="K20" i="5"/>
  <c r="L19" i="5"/>
  <c r="L48" i="5"/>
  <c r="K49" i="5"/>
  <c r="K59" i="4"/>
  <c r="L58" i="4"/>
  <c r="K26" i="4"/>
  <c r="L25" i="4"/>
  <c r="L7" i="4"/>
  <c r="M4" i="4"/>
  <c r="K49" i="4"/>
  <c r="J55" i="4"/>
  <c r="M37" i="4"/>
  <c r="L40" i="4"/>
  <c r="L4" i="3"/>
  <c r="K6" i="3"/>
  <c r="O16" i="3"/>
  <c r="P16" i="3"/>
  <c r="G65" i="3"/>
  <c r="L24" i="3"/>
  <c r="M15" i="3"/>
  <c r="J59" i="3"/>
  <c r="I60" i="3"/>
  <c r="I65" i="3" s="1"/>
  <c r="J46" i="3"/>
  <c r="K44" i="3"/>
  <c r="L55" i="3"/>
  <c r="P56" i="3"/>
  <c r="O56" i="3"/>
  <c r="J19" i="3"/>
  <c r="I20" i="3"/>
  <c r="I27" i="3" s="1"/>
  <c r="I60" i="4" l="1"/>
  <c r="H27" i="4"/>
  <c r="H29" i="4"/>
  <c r="H30" i="4" s="1"/>
  <c r="D6" i="11" s="1"/>
  <c r="I22" i="4"/>
  <c r="J16" i="4"/>
  <c r="B21" i="1"/>
  <c r="B11" i="1"/>
  <c r="H21" i="5"/>
  <c r="H23" i="5"/>
  <c r="H24" i="5" s="1"/>
  <c r="J15" i="5"/>
  <c r="I16" i="5"/>
  <c r="I67" i="3"/>
  <c r="I68" i="3" s="1"/>
  <c r="L53" i="5"/>
  <c r="M52" i="5"/>
  <c r="M6" i="5"/>
  <c r="N4" i="5"/>
  <c r="L20" i="5"/>
  <c r="M19" i="5"/>
  <c r="K54" i="5"/>
  <c r="N38" i="5"/>
  <c r="N39" i="5" s="1"/>
  <c r="M48" i="5"/>
  <c r="L49" i="5"/>
  <c r="L56" i="5" s="1"/>
  <c r="K56" i="5"/>
  <c r="K57" i="5" s="1"/>
  <c r="G25" i="11" s="1"/>
  <c r="J60" i="4"/>
  <c r="J62" i="4"/>
  <c r="J63" i="4" s="1"/>
  <c r="F28" i="11" s="1"/>
  <c r="L59" i="4"/>
  <c r="M58" i="4"/>
  <c r="L49" i="4"/>
  <c r="K55" i="4"/>
  <c r="M40" i="4"/>
  <c r="N37" i="4"/>
  <c r="N4" i="4"/>
  <c r="M7" i="4"/>
  <c r="L26" i="4"/>
  <c r="M25" i="4"/>
  <c r="K19" i="3"/>
  <c r="J20" i="3"/>
  <c r="Q16" i="3"/>
  <c r="R16" i="3"/>
  <c r="K46" i="3"/>
  <c r="L44" i="3"/>
  <c r="K59" i="3"/>
  <c r="J60" i="3"/>
  <c r="J65" i="3" s="1"/>
  <c r="R56" i="3"/>
  <c r="Q56" i="3"/>
  <c r="M24" i="3"/>
  <c r="N15" i="3"/>
  <c r="L6" i="3"/>
  <c r="M4" i="3"/>
  <c r="I25" i="3"/>
  <c r="M55" i="3"/>
  <c r="I29" i="4" l="1"/>
  <c r="I30" i="4" s="1"/>
  <c r="E6" i="11" s="1"/>
  <c r="I27" i="4"/>
  <c r="K16" i="4"/>
  <c r="J22" i="4"/>
  <c r="I23" i="5"/>
  <c r="I24" i="5" s="1"/>
  <c r="I21" i="5"/>
  <c r="K15" i="5"/>
  <c r="J16" i="5"/>
  <c r="L57" i="5"/>
  <c r="H25" i="11" s="1"/>
  <c r="C3" i="18"/>
  <c r="C33" i="18" s="1"/>
  <c r="C9" i="11"/>
  <c r="E27" i="11"/>
  <c r="H68" i="3"/>
  <c r="I28" i="3"/>
  <c r="L54" i="5"/>
  <c r="O38" i="5"/>
  <c r="O39" i="5" s="1"/>
  <c r="M53" i="5"/>
  <c r="N52" i="5"/>
  <c r="N48" i="5"/>
  <c r="M49" i="5"/>
  <c r="M20" i="5"/>
  <c r="N19" i="5"/>
  <c r="N6" i="5"/>
  <c r="O4" i="5"/>
  <c r="N7" i="4"/>
  <c r="O4" i="4"/>
  <c r="K60" i="4"/>
  <c r="K62" i="4"/>
  <c r="K63" i="4" s="1"/>
  <c r="G28" i="11" s="1"/>
  <c r="M49" i="4"/>
  <c r="L55" i="4"/>
  <c r="M59" i="4"/>
  <c r="N58" i="4"/>
  <c r="M26" i="4"/>
  <c r="N25" i="4"/>
  <c r="N40" i="4"/>
  <c r="O37" i="4"/>
  <c r="M44" i="3"/>
  <c r="L46" i="3"/>
  <c r="L59" i="3"/>
  <c r="K60" i="3"/>
  <c r="K65" i="3" s="1"/>
  <c r="T56" i="3"/>
  <c r="U56" i="3" s="1"/>
  <c r="S56" i="3"/>
  <c r="N4" i="3"/>
  <c r="M6" i="3"/>
  <c r="T16" i="3"/>
  <c r="U16" i="3" s="1"/>
  <c r="S16" i="3"/>
  <c r="O15" i="3"/>
  <c r="N24" i="3"/>
  <c r="J67" i="3"/>
  <c r="J68" i="3" s="1"/>
  <c r="F27" i="11" s="1"/>
  <c r="N55" i="3"/>
  <c r="J25" i="3"/>
  <c r="J27" i="3"/>
  <c r="L19" i="3"/>
  <c r="K20" i="3"/>
  <c r="J29" i="4" l="1"/>
  <c r="J30" i="4" s="1"/>
  <c r="F6" i="11" s="1"/>
  <c r="J27" i="4"/>
  <c r="K22" i="4"/>
  <c r="L16" i="4"/>
  <c r="E8" i="11"/>
  <c r="H28" i="3"/>
  <c r="G28" i="3" s="1"/>
  <c r="C31" i="11"/>
  <c r="J23" i="5"/>
  <c r="J24" i="5" s="1"/>
  <c r="J21" i="5"/>
  <c r="L15" i="5"/>
  <c r="K16" i="5"/>
  <c r="E30" i="11"/>
  <c r="E33" i="11" s="1"/>
  <c r="F30" i="11"/>
  <c r="F33" i="11" s="1"/>
  <c r="D27" i="11"/>
  <c r="G68" i="3"/>
  <c r="J28" i="3"/>
  <c r="M54" i="5"/>
  <c r="P38" i="5"/>
  <c r="P39" i="5" s="1"/>
  <c r="O19" i="5"/>
  <c r="N20" i="5"/>
  <c r="M56" i="5"/>
  <c r="M57" i="5" s="1"/>
  <c r="I25" i="11" s="1"/>
  <c r="P4" i="5"/>
  <c r="O6" i="5"/>
  <c r="N49" i="5"/>
  <c r="O48" i="5"/>
  <c r="O52" i="5"/>
  <c r="N53" i="5"/>
  <c r="N26" i="4"/>
  <c r="O25" i="4"/>
  <c r="N59" i="4"/>
  <c r="O58" i="4"/>
  <c r="L60" i="4"/>
  <c r="L62" i="4"/>
  <c r="L63" i="4" s="1"/>
  <c r="H28" i="11" s="1"/>
  <c r="P4" i="4"/>
  <c r="O7" i="4"/>
  <c r="P37" i="4"/>
  <c r="O40" i="4"/>
  <c r="N49" i="4"/>
  <c r="M55" i="4"/>
  <c r="O55" i="3"/>
  <c r="M59" i="3"/>
  <c r="L60" i="3"/>
  <c r="L65" i="3" s="1"/>
  <c r="K25" i="3"/>
  <c r="K27" i="3"/>
  <c r="K28" i="3" s="1"/>
  <c r="G5" i="11" s="1"/>
  <c r="M46" i="3"/>
  <c r="N44" i="3"/>
  <c r="O24" i="3"/>
  <c r="P15" i="3"/>
  <c r="O4" i="3"/>
  <c r="N6" i="3"/>
  <c r="K67" i="3"/>
  <c r="K68" i="3" s="1"/>
  <c r="G27" i="11" s="1"/>
  <c r="M19" i="3"/>
  <c r="L20" i="3"/>
  <c r="E11" i="11" l="1"/>
  <c r="E5" i="18" s="1"/>
  <c r="E12" i="18" s="1"/>
  <c r="E27" i="18" s="1"/>
  <c r="M16" i="4"/>
  <c r="L22" i="4"/>
  <c r="K27" i="4"/>
  <c r="K29" i="4"/>
  <c r="K30" i="4" s="1"/>
  <c r="G6" i="11" s="1"/>
  <c r="C27" i="11"/>
  <c r="C30" i="11" s="1"/>
  <c r="C33" i="11" s="1"/>
  <c r="F8" i="11"/>
  <c r="F11" i="11" s="1"/>
  <c r="F5" i="18" s="1"/>
  <c r="F12" i="18" s="1"/>
  <c r="F21" i="18" s="1"/>
  <c r="D8" i="11"/>
  <c r="K23" i="5"/>
  <c r="K24" i="5" s="1"/>
  <c r="G3" i="11" s="1"/>
  <c r="K21" i="5"/>
  <c r="L16" i="5"/>
  <c r="M15" i="5"/>
  <c r="E36" i="18"/>
  <c r="E46" i="18" s="1"/>
  <c r="E57" i="18"/>
  <c r="F36" i="18"/>
  <c r="F46" i="18" s="1"/>
  <c r="F51" i="18"/>
  <c r="D30" i="11"/>
  <c r="D33" i="11" s="1"/>
  <c r="G30" i="11"/>
  <c r="G33" i="11" s="1"/>
  <c r="L67" i="3"/>
  <c r="L68" i="3" s="1"/>
  <c r="H27" i="11" s="1"/>
  <c r="Q4" i="5"/>
  <c r="P6" i="5"/>
  <c r="O53" i="5"/>
  <c r="P52" i="5"/>
  <c r="O49" i="5"/>
  <c r="P48" i="5"/>
  <c r="N54" i="5"/>
  <c r="P19" i="5"/>
  <c r="O20" i="5"/>
  <c r="N56" i="5"/>
  <c r="N57" i="5" s="1"/>
  <c r="J25" i="11" s="1"/>
  <c r="Q38" i="5"/>
  <c r="M60" i="4"/>
  <c r="M62" i="4"/>
  <c r="M63" i="4" s="1"/>
  <c r="I28" i="11" s="1"/>
  <c r="N55" i="4"/>
  <c r="O49" i="4"/>
  <c r="P40" i="4"/>
  <c r="Q37" i="4"/>
  <c r="O59" i="4"/>
  <c r="P58" i="4"/>
  <c r="P7" i="4"/>
  <c r="Q4" i="4"/>
  <c r="O26" i="4"/>
  <c r="P25" i="4"/>
  <c r="L25" i="3"/>
  <c r="L27" i="3"/>
  <c r="L28" i="3" s="1"/>
  <c r="H5" i="11" s="1"/>
  <c r="N46" i="3"/>
  <c r="O44" i="3"/>
  <c r="O6" i="3"/>
  <c r="P4" i="3"/>
  <c r="N19" i="3"/>
  <c r="M20" i="3"/>
  <c r="N59" i="3"/>
  <c r="M60" i="3"/>
  <c r="M65" i="3" s="1"/>
  <c r="Q15" i="3"/>
  <c r="P24" i="3"/>
  <c r="P55" i="3"/>
  <c r="D11" i="11" l="1"/>
  <c r="D5" i="18" s="1"/>
  <c r="D12" i="18" s="1"/>
  <c r="G8" i="11"/>
  <c r="G11" i="11" s="1"/>
  <c r="G5" i="18" s="1"/>
  <c r="G12" i="18" s="1"/>
  <c r="G16" i="18" s="1"/>
  <c r="L27" i="4"/>
  <c r="L29" i="4"/>
  <c r="L30" i="4" s="1"/>
  <c r="H6" i="11" s="1"/>
  <c r="N16" i="4"/>
  <c r="M22" i="4"/>
  <c r="F27" i="18"/>
  <c r="F16" i="18"/>
  <c r="C8" i="11"/>
  <c r="C11" i="11" s="1"/>
  <c r="C5" i="18" s="1"/>
  <c r="C12" i="18" s="1"/>
  <c r="C27" i="18" s="1"/>
  <c r="N15" i="5"/>
  <c r="M16" i="5"/>
  <c r="L23" i="5"/>
  <c r="L24" i="5" s="1"/>
  <c r="H3" i="11" s="1"/>
  <c r="L21" i="5"/>
  <c r="F57" i="18"/>
  <c r="G36" i="18"/>
  <c r="G46" i="18" s="1"/>
  <c r="G57" i="18"/>
  <c r="C36" i="18"/>
  <c r="H30" i="11"/>
  <c r="H33" i="11" s="1"/>
  <c r="D36" i="18"/>
  <c r="D46" i="18" s="1"/>
  <c r="E16" i="18"/>
  <c r="D57" i="18"/>
  <c r="O54" i="5"/>
  <c r="P49" i="5"/>
  <c r="P56" i="5" s="1"/>
  <c r="Q48" i="5"/>
  <c r="P53" i="5"/>
  <c r="Q52" i="5"/>
  <c r="P20" i="5"/>
  <c r="Q19" i="5"/>
  <c r="O56" i="5"/>
  <c r="O57" i="5" s="1"/>
  <c r="K25" i="11" s="1"/>
  <c r="R38" i="5"/>
  <c r="Q39" i="5"/>
  <c r="R4" i="5"/>
  <c r="Q6" i="5"/>
  <c r="R37" i="4"/>
  <c r="Q40" i="4"/>
  <c r="O55" i="4"/>
  <c r="P49" i="4"/>
  <c r="P59" i="4"/>
  <c r="Q58" i="4"/>
  <c r="R4" i="4"/>
  <c r="Q7" i="4"/>
  <c r="P26" i="4"/>
  <c r="Q25" i="4"/>
  <c r="N60" i="4"/>
  <c r="N62" i="4"/>
  <c r="N63" i="4" s="1"/>
  <c r="J28" i="11" s="1"/>
  <c r="M67" i="3"/>
  <c r="M68" i="3" s="1"/>
  <c r="I27" i="11" s="1"/>
  <c r="Q55" i="3"/>
  <c r="O46" i="3"/>
  <c r="P44" i="3"/>
  <c r="O59" i="3"/>
  <c r="N60" i="3"/>
  <c r="N65" i="3" s="1"/>
  <c r="M25" i="3"/>
  <c r="M27" i="3"/>
  <c r="M28" i="3" s="1"/>
  <c r="I5" i="11" s="1"/>
  <c r="O19" i="3"/>
  <c r="N20" i="3"/>
  <c r="Q24" i="3"/>
  <c r="R15" i="3"/>
  <c r="P6" i="3"/>
  <c r="Q4" i="3"/>
  <c r="D16" i="18" l="1"/>
  <c r="D27" i="18"/>
  <c r="G21" i="18"/>
  <c r="G27" i="18"/>
  <c r="H8" i="11"/>
  <c r="H11" i="11" s="1"/>
  <c r="H5" i="18" s="1"/>
  <c r="H12" i="18" s="1"/>
  <c r="H16" i="18" s="1"/>
  <c r="M27" i="4"/>
  <c r="M29" i="4"/>
  <c r="M30" i="4" s="1"/>
  <c r="I6" i="11" s="1"/>
  <c r="O16" i="4"/>
  <c r="N22" i="4"/>
  <c r="M23" i="5"/>
  <c r="M24" i="5" s="1"/>
  <c r="I3" i="11" s="1"/>
  <c r="M21" i="5"/>
  <c r="O15" i="5"/>
  <c r="N16" i="5"/>
  <c r="C46" i="18"/>
  <c r="C57" i="18"/>
  <c r="C51" i="18"/>
  <c r="H36" i="18"/>
  <c r="H46" i="18" s="1"/>
  <c r="H51" i="18"/>
  <c r="I30" i="11"/>
  <c r="I33" i="11" s="1"/>
  <c r="G51" i="18"/>
  <c r="N67" i="3"/>
  <c r="N68" i="3" s="1"/>
  <c r="P57" i="5"/>
  <c r="L25" i="11" s="1"/>
  <c r="R39" i="5"/>
  <c r="S38" i="5"/>
  <c r="S4" i="5"/>
  <c r="R6" i="5"/>
  <c r="Q20" i="5"/>
  <c r="R19" i="5"/>
  <c r="Q53" i="5"/>
  <c r="R52" i="5"/>
  <c r="R48" i="5"/>
  <c r="Q49" i="5"/>
  <c r="P54" i="5"/>
  <c r="S37" i="4"/>
  <c r="R40" i="4"/>
  <c r="R7" i="4"/>
  <c r="S4" i="4"/>
  <c r="Q59" i="4"/>
  <c r="R58" i="4"/>
  <c r="O60" i="4"/>
  <c r="O62" i="4"/>
  <c r="O63" i="4" s="1"/>
  <c r="K28" i="11" s="1"/>
  <c r="Q26" i="4"/>
  <c r="R25" i="4"/>
  <c r="P55" i="4"/>
  <c r="Q49" i="4"/>
  <c r="R55" i="3"/>
  <c r="P19" i="3"/>
  <c r="O20" i="3"/>
  <c r="N25" i="3"/>
  <c r="N27" i="3"/>
  <c r="N28" i="3" s="1"/>
  <c r="J5" i="11" s="1"/>
  <c r="R4" i="3"/>
  <c r="Q6" i="3"/>
  <c r="R24" i="3"/>
  <c r="S15" i="3"/>
  <c r="P59" i="3"/>
  <c r="O60" i="3"/>
  <c r="O65" i="3" s="1"/>
  <c r="Q44" i="3"/>
  <c r="P46" i="3"/>
  <c r="I8" i="11" l="1"/>
  <c r="I11" i="11" s="1"/>
  <c r="I5" i="18" s="1"/>
  <c r="I12" i="18" s="1"/>
  <c r="I16" i="18" s="1"/>
  <c r="H21" i="18"/>
  <c r="H27" i="18"/>
  <c r="N27" i="4"/>
  <c r="N29" i="4"/>
  <c r="N30" i="4" s="1"/>
  <c r="J6" i="11" s="1"/>
  <c r="O22" i="4"/>
  <c r="P16" i="4"/>
  <c r="N23" i="5"/>
  <c r="N24" i="5" s="1"/>
  <c r="J3" i="11" s="1"/>
  <c r="N21" i="5"/>
  <c r="O16" i="5"/>
  <c r="P15" i="5"/>
  <c r="H57" i="18"/>
  <c r="I36" i="18"/>
  <c r="I46" i="18" s="1"/>
  <c r="I57" i="18"/>
  <c r="J27" i="11"/>
  <c r="O68" i="3"/>
  <c r="Q54" i="5"/>
  <c r="S48" i="5"/>
  <c r="R49" i="5"/>
  <c r="R56" i="5" s="1"/>
  <c r="Q56" i="5"/>
  <c r="Q57" i="5" s="1"/>
  <c r="M25" i="11" s="1"/>
  <c r="T4" i="5"/>
  <c r="S6" i="5"/>
  <c r="R53" i="5"/>
  <c r="S52" i="5"/>
  <c r="S39" i="5"/>
  <c r="T38" i="5"/>
  <c r="R20" i="5"/>
  <c r="S19" i="5"/>
  <c r="T37" i="4"/>
  <c r="S40" i="4"/>
  <c r="R59" i="4"/>
  <c r="S58" i="4"/>
  <c r="Q55" i="4"/>
  <c r="R49" i="4"/>
  <c r="P60" i="4"/>
  <c r="P62" i="4"/>
  <c r="P63" i="4" s="1"/>
  <c r="L28" i="11" s="1"/>
  <c r="T4" i="4"/>
  <c r="S7" i="4"/>
  <c r="R26" i="4"/>
  <c r="S25" i="4"/>
  <c r="T15" i="3"/>
  <c r="S24" i="3"/>
  <c r="Q19" i="3"/>
  <c r="P20" i="3"/>
  <c r="Q59" i="3"/>
  <c r="P60" i="3"/>
  <c r="P65" i="3" s="1"/>
  <c r="O67" i="3"/>
  <c r="O25" i="3"/>
  <c r="O27" i="3"/>
  <c r="O28" i="3" s="1"/>
  <c r="K5" i="11" s="1"/>
  <c r="R44" i="3"/>
  <c r="Q46" i="3"/>
  <c r="R6" i="3"/>
  <c r="S4" i="3"/>
  <c r="S55" i="3"/>
  <c r="J8" i="11" l="1"/>
  <c r="J11" i="11" s="1"/>
  <c r="J5" i="18" s="1"/>
  <c r="J12" i="18" s="1"/>
  <c r="J16" i="18" s="1"/>
  <c r="I21" i="18"/>
  <c r="I27" i="18"/>
  <c r="P22" i="4"/>
  <c r="Q16" i="4"/>
  <c r="O29" i="4"/>
  <c r="O30" i="4" s="1"/>
  <c r="K6" i="11" s="1"/>
  <c r="O27" i="4"/>
  <c r="P16" i="5"/>
  <c r="Q15" i="5"/>
  <c r="O23" i="5"/>
  <c r="O24" i="5" s="1"/>
  <c r="K3" i="11" s="1"/>
  <c r="O21" i="5"/>
  <c r="I51" i="18"/>
  <c r="J30" i="11"/>
  <c r="J33" i="11" s="1"/>
  <c r="K27" i="11"/>
  <c r="P68" i="3"/>
  <c r="R57" i="5"/>
  <c r="N25" i="11" s="1"/>
  <c r="S20" i="5"/>
  <c r="T19" i="5"/>
  <c r="U4" i="5"/>
  <c r="U6" i="5" s="1"/>
  <c r="T6" i="5"/>
  <c r="T39" i="5"/>
  <c r="U38" i="5"/>
  <c r="U39" i="5" s="1"/>
  <c r="R54" i="5"/>
  <c r="T48" i="5"/>
  <c r="S49" i="5"/>
  <c r="S56" i="5" s="1"/>
  <c r="S53" i="5"/>
  <c r="T52" i="5"/>
  <c r="T7" i="4"/>
  <c r="U4" i="4"/>
  <c r="U7" i="4" s="1"/>
  <c r="S49" i="4"/>
  <c r="R55" i="4"/>
  <c r="S26" i="4"/>
  <c r="T25" i="4"/>
  <c r="S59" i="4"/>
  <c r="T58" i="4"/>
  <c r="Q60" i="4"/>
  <c r="Q62" i="4"/>
  <c r="Q63" i="4" s="1"/>
  <c r="M28" i="11" s="1"/>
  <c r="U37" i="4"/>
  <c r="U40" i="4" s="1"/>
  <c r="T40" i="4"/>
  <c r="R59" i="3"/>
  <c r="Q60" i="3"/>
  <c r="Q65" i="3" s="1"/>
  <c r="P25" i="3"/>
  <c r="P27" i="3"/>
  <c r="P28" i="3" s="1"/>
  <c r="L5" i="11" s="1"/>
  <c r="R46" i="3"/>
  <c r="S44" i="3"/>
  <c r="R19" i="3"/>
  <c r="Q20" i="3"/>
  <c r="T55" i="3"/>
  <c r="T4" i="3"/>
  <c r="S6" i="3"/>
  <c r="P67" i="3"/>
  <c r="T24" i="3"/>
  <c r="U15" i="3"/>
  <c r="J21" i="18" l="1"/>
  <c r="J27" i="18"/>
  <c r="K8" i="11"/>
  <c r="K11" i="11" s="1"/>
  <c r="K5" i="18" s="1"/>
  <c r="K12" i="18" s="1"/>
  <c r="K16" i="18" s="1"/>
  <c r="Q22" i="4"/>
  <c r="R16" i="4"/>
  <c r="P29" i="4"/>
  <c r="P30" i="4" s="1"/>
  <c r="L6" i="11" s="1"/>
  <c r="P27" i="4"/>
  <c r="Q16" i="5"/>
  <c r="R15" i="5"/>
  <c r="P23" i="5"/>
  <c r="P24" i="5" s="1"/>
  <c r="L3" i="11" s="1"/>
  <c r="P21" i="5"/>
  <c r="J36" i="18"/>
  <c r="J46" i="18" s="1"/>
  <c r="K30" i="11"/>
  <c r="K33" i="11" s="1"/>
  <c r="J51" i="18"/>
  <c r="L27" i="11"/>
  <c r="Q68" i="3"/>
  <c r="S57" i="5"/>
  <c r="O25" i="11" s="1"/>
  <c r="T53" i="5"/>
  <c r="U52" i="5"/>
  <c r="S54" i="5"/>
  <c r="T20" i="5"/>
  <c r="U19" i="5"/>
  <c r="U48" i="5"/>
  <c r="U49" i="5" s="1"/>
  <c r="T49" i="5"/>
  <c r="R60" i="4"/>
  <c r="R62" i="4"/>
  <c r="R63" i="4" s="1"/>
  <c r="N28" i="11" s="1"/>
  <c r="T59" i="4"/>
  <c r="U58" i="4"/>
  <c r="T49" i="4"/>
  <c r="S55" i="4"/>
  <c r="T26" i="4"/>
  <c r="U25" i="4"/>
  <c r="S19" i="3"/>
  <c r="R20" i="3"/>
  <c r="V63" i="3"/>
  <c r="U55" i="3"/>
  <c r="U24" i="3"/>
  <c r="Q25" i="3"/>
  <c r="Q27" i="3"/>
  <c r="Q28" i="3" s="1"/>
  <c r="M5" i="11" s="1"/>
  <c r="S46" i="3"/>
  <c r="T44" i="3"/>
  <c r="T6" i="3"/>
  <c r="U4" i="3"/>
  <c r="U6" i="3" s="1"/>
  <c r="Q67" i="3"/>
  <c r="S59" i="3"/>
  <c r="R60" i="3"/>
  <c r="R65" i="3" s="1"/>
  <c r="K27" i="18" l="1"/>
  <c r="K21" i="18"/>
  <c r="R22" i="4"/>
  <c r="S16" i="4"/>
  <c r="Q27" i="4"/>
  <c r="Q29" i="4"/>
  <c r="Q30" i="4" s="1"/>
  <c r="M6" i="11" s="1"/>
  <c r="L8" i="11"/>
  <c r="L11" i="11" s="1"/>
  <c r="L5" i="18" s="1"/>
  <c r="L12" i="18" s="1"/>
  <c r="L16" i="18" s="1"/>
  <c r="R16" i="5"/>
  <c r="S15" i="5"/>
  <c r="Q23" i="5"/>
  <c r="Q24" i="5" s="1"/>
  <c r="M3" i="11" s="1"/>
  <c r="Q21" i="5"/>
  <c r="K36" i="18"/>
  <c r="K46" i="18" s="1"/>
  <c r="L30" i="11"/>
  <c r="L33" i="11" s="1"/>
  <c r="R68" i="3"/>
  <c r="M27" i="11"/>
  <c r="K51" i="18"/>
  <c r="U20" i="5"/>
  <c r="V19" i="5"/>
  <c r="T54" i="5"/>
  <c r="T56" i="5"/>
  <c r="T57" i="5" s="1"/>
  <c r="P25" i="11" s="1"/>
  <c r="U56" i="5"/>
  <c r="U53" i="5"/>
  <c r="U54" i="5" s="1"/>
  <c r="V52" i="5"/>
  <c r="U49" i="4"/>
  <c r="U55" i="4" s="1"/>
  <c r="T55" i="4"/>
  <c r="U59" i="4"/>
  <c r="V58" i="4"/>
  <c r="S60" i="4"/>
  <c r="S62" i="4"/>
  <c r="S63" i="4" s="1"/>
  <c r="O28" i="11" s="1"/>
  <c r="U26" i="4"/>
  <c r="V25" i="4"/>
  <c r="R67" i="3"/>
  <c r="U44" i="3"/>
  <c r="U46" i="3" s="1"/>
  <c r="T46" i="3"/>
  <c r="T59" i="3"/>
  <c r="S60" i="3"/>
  <c r="S65" i="3" s="1"/>
  <c r="R25" i="3"/>
  <c r="R27" i="3"/>
  <c r="R28" i="3" s="1"/>
  <c r="N5" i="11" s="1"/>
  <c r="T19" i="3"/>
  <c r="S20" i="3"/>
  <c r="L27" i="18" l="1"/>
  <c r="M8" i="11"/>
  <c r="M11" i="11" s="1"/>
  <c r="M5" i="18" s="1"/>
  <c r="M12" i="18" s="1"/>
  <c r="M27" i="18" s="1"/>
  <c r="L21" i="18"/>
  <c r="S22" i="4"/>
  <c r="T16" i="4"/>
  <c r="R27" i="4"/>
  <c r="R29" i="4"/>
  <c r="R30" i="4" s="1"/>
  <c r="N6" i="11" s="1"/>
  <c r="T15" i="5"/>
  <c r="S16" i="5"/>
  <c r="R23" i="5"/>
  <c r="R24" i="5" s="1"/>
  <c r="N3" i="11" s="1"/>
  <c r="R21" i="5"/>
  <c r="L36" i="18"/>
  <c r="L46" i="18" s="1"/>
  <c r="M30" i="11"/>
  <c r="M33" i="11" s="1"/>
  <c r="S68" i="3"/>
  <c r="N27" i="11"/>
  <c r="U57" i="5"/>
  <c r="Q25" i="11" s="1"/>
  <c r="T60" i="4"/>
  <c r="T62" i="4"/>
  <c r="T63" i="4" s="1"/>
  <c r="P28" i="11" s="1"/>
  <c r="U60" i="4"/>
  <c r="U62" i="4"/>
  <c r="U63" i="4" s="1"/>
  <c r="Q28" i="11" s="1"/>
  <c r="U59" i="3"/>
  <c r="U60" i="3" s="1"/>
  <c r="U65" i="3" s="1"/>
  <c r="T60" i="3"/>
  <c r="T65" i="3" s="1"/>
  <c r="S67" i="3"/>
  <c r="S25" i="3"/>
  <c r="S27" i="3"/>
  <c r="S28" i="3" s="1"/>
  <c r="O5" i="11" s="1"/>
  <c r="U19" i="3"/>
  <c r="U20" i="3" s="1"/>
  <c r="T20" i="3"/>
  <c r="M21" i="18" l="1"/>
  <c r="M16" i="18"/>
  <c r="N8" i="11"/>
  <c r="N11" i="11" s="1"/>
  <c r="N5" i="18" s="1"/>
  <c r="N12" i="18" s="1"/>
  <c r="N21" i="18" s="1"/>
  <c r="U16" i="4"/>
  <c r="U22" i="4" s="1"/>
  <c r="T22" i="4"/>
  <c r="S27" i="4"/>
  <c r="S29" i="4"/>
  <c r="S30" i="4" s="1"/>
  <c r="O6" i="11" s="1"/>
  <c r="S23" i="5"/>
  <c r="S24" i="5" s="1"/>
  <c r="O3" i="11" s="1"/>
  <c r="S21" i="5"/>
  <c r="U15" i="5"/>
  <c r="U16" i="5" s="1"/>
  <c r="T16" i="5"/>
  <c r="M36" i="18"/>
  <c r="M46" i="18" s="1"/>
  <c r="M51" i="18"/>
  <c r="N30" i="11"/>
  <c r="N33" i="11" s="1"/>
  <c r="L51" i="18"/>
  <c r="T68" i="3"/>
  <c r="O27" i="11"/>
  <c r="G59" i="5"/>
  <c r="C4" i="1" s="1"/>
  <c r="G58" i="5"/>
  <c r="D4" i="1" s="1"/>
  <c r="G65" i="4"/>
  <c r="C7" i="1" s="1"/>
  <c r="G64" i="4"/>
  <c r="D7" i="1" s="1"/>
  <c r="U67" i="3"/>
  <c r="T67" i="3"/>
  <c r="T25" i="3"/>
  <c r="T27" i="3"/>
  <c r="T28" i="3" s="1"/>
  <c r="P5" i="11" s="1"/>
  <c r="U25" i="3"/>
  <c r="U27" i="3"/>
  <c r="U28" i="3" s="1"/>
  <c r="O8" i="11" l="1"/>
  <c r="O11" i="11" s="1"/>
  <c r="O5" i="18" s="1"/>
  <c r="O12" i="18" s="1"/>
  <c r="O27" i="18" s="1"/>
  <c r="N16" i="18"/>
  <c r="N27" i="18"/>
  <c r="T27" i="4"/>
  <c r="T29" i="4"/>
  <c r="T30" i="4" s="1"/>
  <c r="U29" i="4"/>
  <c r="U30" i="4" s="1"/>
  <c r="Q6" i="11" s="1"/>
  <c r="U27" i="4"/>
  <c r="G29" i="3"/>
  <c r="F6" i="1" s="1"/>
  <c r="Q5" i="11"/>
  <c r="G30" i="3"/>
  <c r="T23" i="5"/>
  <c r="T24" i="5" s="1"/>
  <c r="T21" i="5"/>
  <c r="U23" i="5"/>
  <c r="U24" i="5" s="1"/>
  <c r="Q3" i="11" s="1"/>
  <c r="U21" i="5"/>
  <c r="N36" i="18"/>
  <c r="N46" i="18" s="1"/>
  <c r="N51" i="18"/>
  <c r="O30" i="11"/>
  <c r="O33" i="11" s="1"/>
  <c r="U68" i="3"/>
  <c r="P27" i="11"/>
  <c r="O16" i="18" l="1"/>
  <c r="O21" i="18"/>
  <c r="P6" i="11"/>
  <c r="G32" i="4"/>
  <c r="E7" i="1" s="1"/>
  <c r="G31" i="4"/>
  <c r="F7" i="1" s="1"/>
  <c r="Q8" i="11"/>
  <c r="Q11" i="11" s="1"/>
  <c r="Q5" i="18" s="1"/>
  <c r="Q12" i="18" s="1"/>
  <c r="Q21" i="18" s="1"/>
  <c r="Q27" i="11"/>
  <c r="Q30" i="11" s="1"/>
  <c r="Q33" i="11" s="1"/>
  <c r="G70" i="3"/>
  <c r="P3" i="11"/>
  <c r="G26" i="5"/>
  <c r="E4" i="1" s="1"/>
  <c r="G25" i="5"/>
  <c r="F4" i="1" s="1"/>
  <c r="O36" i="18"/>
  <c r="O46" i="18" s="1"/>
  <c r="P30" i="11"/>
  <c r="P33" i="11" s="1"/>
  <c r="G69" i="3"/>
  <c r="D5" i="1" s="1"/>
  <c r="D11" i="1" s="1"/>
  <c r="P8" i="11" l="1"/>
  <c r="P11" i="11" s="1"/>
  <c r="P5" i="18" s="1"/>
  <c r="P12" i="18" s="1"/>
  <c r="C13" i="18" s="1"/>
  <c r="E64" i="18" s="1"/>
  <c r="F11" i="1"/>
  <c r="Q27" i="18"/>
  <c r="Q16" i="18"/>
  <c r="Q36" i="18"/>
  <c r="Q46" i="18" s="1"/>
  <c r="C35" i="11"/>
  <c r="C43" i="18" s="1"/>
  <c r="G64" i="18" s="1"/>
  <c r="P51" i="18"/>
  <c r="C34" i="11"/>
  <c r="C42" i="18" s="1"/>
  <c r="D64" i="18" s="1"/>
  <c r="P36" i="18"/>
  <c r="P46" i="18" s="1"/>
  <c r="O51" i="18"/>
  <c r="C6" i="1"/>
  <c r="C11" i="1" s="1"/>
  <c r="E6" i="1"/>
  <c r="E11" i="1" s="1"/>
  <c r="C21" i="18"/>
  <c r="C16" i="18"/>
  <c r="C12" i="11" l="1"/>
  <c r="C13" i="11"/>
  <c r="C14" i="18" s="1"/>
  <c r="F64" i="18" s="1"/>
  <c r="P27" i="18"/>
  <c r="C30" i="18" s="1"/>
  <c r="P16" i="18"/>
  <c r="C18" i="18" s="1"/>
  <c r="E65" i="18" s="1"/>
  <c r="P21" i="18"/>
  <c r="C25" i="18" s="1"/>
  <c r="E66" i="18" s="1"/>
  <c r="N57" i="18"/>
  <c r="Q51" i="18"/>
  <c r="M57" i="18"/>
  <c r="C60" i="18" s="1"/>
  <c r="G67" i="18" s="1"/>
  <c r="C47" i="18"/>
  <c r="G65" i="18" s="1"/>
  <c r="C48" i="18"/>
  <c r="C53" i="18" l="1"/>
  <c r="G66" i="18" s="1"/>
  <c r="C17" i="18"/>
  <c r="F65" i="18" s="1"/>
  <c r="C23" i="18"/>
  <c r="D65" i="18"/>
  <c r="F67" i="18"/>
  <c r="F66" i="18"/>
</calcChain>
</file>

<file path=xl/sharedStrings.xml><?xml version="1.0" encoding="utf-8"?>
<sst xmlns="http://schemas.openxmlformats.org/spreadsheetml/2006/main" count="612" uniqueCount="243">
  <si>
    <t>Investments</t>
  </si>
  <si>
    <t>EIRR (%)</t>
  </si>
  <si>
    <t>FIRR (%)</t>
  </si>
  <si>
    <t>=</t>
  </si>
  <si>
    <t>Total export f.o.b</t>
  </si>
  <si>
    <t>Total import c.i.f</t>
  </si>
  <si>
    <t>Export duties</t>
  </si>
  <si>
    <t>Import duties</t>
  </si>
  <si>
    <t>VAT on imports</t>
  </si>
  <si>
    <t>Excise duties on imports</t>
  </si>
  <si>
    <t>Conversion factor</t>
  </si>
  <si>
    <t>VAT Tax rate (fixed for last 5 Years)</t>
  </si>
  <si>
    <t>Official Exchange Rate (2022)</t>
  </si>
  <si>
    <t>FINANCIAL</t>
  </si>
  <si>
    <t>Unit</t>
  </si>
  <si>
    <t>Quantity</t>
  </si>
  <si>
    <t>Price</t>
  </si>
  <si>
    <t>Amount</t>
  </si>
  <si>
    <t>Year</t>
  </si>
  <si>
    <t>REVENUE</t>
  </si>
  <si>
    <t>With Project</t>
  </si>
  <si>
    <t>Sub-total Revenue</t>
  </si>
  <si>
    <t>COSTS</t>
  </si>
  <si>
    <t>Investment Costs</t>
  </si>
  <si>
    <t>Nos.</t>
  </si>
  <si>
    <t>lumpsum</t>
  </si>
  <si>
    <t>Sub-total Investment</t>
  </si>
  <si>
    <t>G$</t>
  </si>
  <si>
    <t>Sub-total for Operating costs</t>
  </si>
  <si>
    <t>Fixed costs</t>
  </si>
  <si>
    <t xml:space="preserve">Depreciation </t>
  </si>
  <si>
    <t>Sub-total for Fixed costs</t>
  </si>
  <si>
    <t>TOTAL COSTS</t>
  </si>
  <si>
    <t>GROSS MARGIN</t>
  </si>
  <si>
    <t>NET MARGIN</t>
  </si>
  <si>
    <t>FIRR</t>
  </si>
  <si>
    <t>FNPV</t>
  </si>
  <si>
    <t>ECONOMIC</t>
  </si>
  <si>
    <t>EIRR</t>
  </si>
  <si>
    <t>ENPV</t>
  </si>
  <si>
    <t>Other Fixed Cost</t>
  </si>
  <si>
    <t>NET MARGIN BEFORE PROFIT TAX</t>
  </si>
  <si>
    <t>Depreciation (Shed)</t>
  </si>
  <si>
    <t>Fixed Capital</t>
  </si>
  <si>
    <t>Lumpsum</t>
  </si>
  <si>
    <t>BASIC DATA</t>
  </si>
  <si>
    <t>Currency</t>
  </si>
  <si>
    <t>Exchange rate</t>
  </si>
  <si>
    <t>USD =</t>
  </si>
  <si>
    <t>Interest rate (NPV)</t>
  </si>
  <si>
    <t>14%</t>
  </si>
  <si>
    <t>FC</t>
  </si>
  <si>
    <t>Family</t>
  </si>
  <si>
    <t>day</t>
  </si>
  <si>
    <t>Hired</t>
  </si>
  <si>
    <t>Particulars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</si>
  <si>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</si>
  <si>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</si>
  <si>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</si>
  <si>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</si>
  <si>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</si>
  <si>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</si>
  <si>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</si>
  <si>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</si>
  <si>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</si>
  <si>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</si>
  <si>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</si>
  <si>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</si>
  <si>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</si>
  <si>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</si>
  <si>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</si>
  <si>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Total</t>
  </si>
  <si>
    <t>US$</t>
  </si>
  <si>
    <t>Financial</t>
  </si>
  <si>
    <t>Net Margins</t>
  </si>
  <si>
    <t>Total investment</t>
  </si>
  <si>
    <t>Million</t>
  </si>
  <si>
    <t>Total component cost</t>
  </si>
  <si>
    <t>Economic</t>
  </si>
  <si>
    <t>Net margins for the additional financing</t>
  </si>
  <si>
    <t>Net margins for additional financing</t>
  </si>
  <si>
    <t xml:space="preserve">EIRR </t>
  </si>
  <si>
    <t xml:space="preserve">ENPV </t>
  </si>
  <si>
    <t>A. Total investment in various activity (Additional financing)</t>
  </si>
  <si>
    <t>Net Margins (10% reduced revenue)</t>
  </si>
  <si>
    <t>FNPV(10% reduced revenue)</t>
  </si>
  <si>
    <t>FIRR (10% reduced revenue)</t>
  </si>
  <si>
    <t>Net Margins (2 years delayed return)</t>
  </si>
  <si>
    <t>FNPV(2 years delayed return)</t>
  </si>
  <si>
    <t>FIRR(2 years delayed return)</t>
  </si>
  <si>
    <t>Net Margins (10% increase cost)</t>
  </si>
  <si>
    <t>Fnpv (10% reduced cost)</t>
  </si>
  <si>
    <t>FIRR(10% increase cost)</t>
  </si>
  <si>
    <t>topic</t>
  </si>
  <si>
    <t>Baseline</t>
  </si>
  <si>
    <t>10% decrease revenue</t>
  </si>
  <si>
    <t>10% increase cost</t>
  </si>
  <si>
    <t>2 year delayed return</t>
  </si>
  <si>
    <t>Variable</t>
  </si>
  <si>
    <t>Notes / Suggested Use in EFA</t>
  </si>
  <si>
    <t>Total exports (f.o.b.)</t>
  </si>
  <si>
    <t>Total imports (c.i.f.)</t>
  </si>
  <si>
    <t>Product specific</t>
  </si>
  <si>
    <t>VAT tax rate</t>
  </si>
  <si>
    <t>Interest rate / discount rate for NPV</t>
  </si>
  <si>
    <t>Wage of labor – Family labor</t>
  </si>
  <si>
    <t>Frequently adjusted downward in economic analysis</t>
  </si>
  <si>
    <t>Wage of labor – Hired labor</t>
  </si>
  <si>
    <t>Market wage</t>
  </si>
  <si>
    <t>Energy saved</t>
  </si>
  <si>
    <t>CAPEX</t>
  </si>
  <si>
    <t>installment cost</t>
  </si>
  <si>
    <t>Enegy saved</t>
  </si>
  <si>
    <t>Productivity cost</t>
  </si>
  <si>
    <t>Installment</t>
  </si>
  <si>
    <t>OPEX</t>
  </si>
  <si>
    <t>KWH/h</t>
  </si>
  <si>
    <t>KWH/hr</t>
  </si>
  <si>
    <t>Hr</t>
  </si>
  <si>
    <t>Capital Investment</t>
  </si>
  <si>
    <t>Intallation cost</t>
  </si>
  <si>
    <t>No</t>
  </si>
  <si>
    <t>Fixed Cost</t>
  </si>
  <si>
    <t xml:space="preserve">Installment </t>
  </si>
  <si>
    <t>Electricity saved</t>
  </si>
  <si>
    <t>productivity</t>
  </si>
  <si>
    <t>others</t>
  </si>
  <si>
    <t>hr</t>
  </si>
  <si>
    <t>Productivity</t>
  </si>
  <si>
    <t>Fixed Capital,and other equipment</t>
  </si>
  <si>
    <t>Fixed Capital, and other equipment</t>
  </si>
  <si>
    <t xml:space="preserve">Total financing= US$ 11million </t>
  </si>
  <si>
    <t>Roof and Ceilling insulation</t>
  </si>
  <si>
    <t>wall insulation</t>
  </si>
  <si>
    <t>Efficient windows (double tripple glazing)</t>
  </si>
  <si>
    <t>Efficient heating system</t>
  </si>
  <si>
    <t>Air sealing/draft proofing</t>
  </si>
  <si>
    <t>Total(KSM; Kyrgyztani SOM)</t>
  </si>
  <si>
    <t>Recent/Typical Value for Kyrgyzstan</t>
  </si>
  <si>
    <t>~US$4.3 billion</t>
  </si>
  <si>
    <t>WITS/World Bank merchandise exports</t>
  </si>
  <si>
    <t>~US$12.0 billion</t>
  </si>
  <si>
    <t>WITS/World Bank merchandise imports</t>
  </si>
  <si>
    <t>Very limited</t>
  </si>
  <si>
    <t>Kyrgyzstan relies more on VAT/import-related taxation</t>
  </si>
  <si>
    <t>Typically 5–10%</t>
  </si>
  <si>
    <t>Depends on EEU/customs classification</t>
  </si>
  <si>
    <t>12% VAT</t>
  </si>
  <si>
    <t>Standard VAT applied to imports and domestic goods</t>
  </si>
  <si>
    <t>Tobacco, alcohol, fuel, luxury goods, vehicles</t>
  </si>
  <si>
    <t>0.90–0.95</t>
  </si>
  <si>
    <t>Often used in EFA for tradable/non-tradable adjustments</t>
  </si>
  <si>
    <t>Standard VAT rate in recent years</t>
  </si>
  <si>
    <t>Official exchange rate</t>
  </si>
  <si>
    <t>~87 KGS/USD</t>
  </si>
  <si>
    <t>Kyrgyz Som exchange rate approximation</t>
  </si>
  <si>
    <t>Kyrgyzstani Som (KGS)</t>
  </si>
  <si>
    <t>National currency</t>
  </si>
  <si>
    <t>10%–12%</t>
  </si>
  <si>
    <t>WB economic analysis often uses 6–12%; financial analysis may use local borrowing cost</t>
  </si>
  <si>
    <t>Shadow wage</t>
  </si>
  <si>
    <t>Use local construction/heating retrofit labor rates</t>
  </si>
  <si>
    <t>Kyrgyzstan (Recent / Suggested Value)</t>
  </si>
  <si>
    <t>Very limited / minimal</t>
  </si>
  <si>
    <t>~5–10%</t>
  </si>
  <si>
    <t>VAT Tax rate (fixed for last 5 years)</t>
  </si>
  <si>
    <t>KGS</t>
  </si>
  <si>
    <t>KZS</t>
  </si>
  <si>
    <t>Type of Labor</t>
  </si>
  <si>
    <t>Wage KGS (Financial)</t>
  </si>
  <si>
    <t>Wage KGS (Economic)</t>
  </si>
  <si>
    <t>Item</t>
  </si>
  <si>
    <t>Meaning</t>
  </si>
  <si>
    <t>Financial wage</t>
  </si>
  <si>
    <t>Actual market wage paid</t>
  </si>
  <si>
    <t>Economic wage</t>
  </si>
  <si>
    <t>Shadow-adjusted labor cost</t>
  </si>
  <si>
    <t>Why Family Labor FC &lt; 1
In WB economic analysis:
family/unskilled labor is often shadow-priced lower,
especially in low-income or underemployed contexts.
So:
FC=
Financial
Economic
	​
For family labor:
1000/1200≈0.83
For hired labor:
1800/1800=1
This is a reasonable simplified assumption for Kyrgyz EFA modeling.</t>
  </si>
  <si>
    <t>KZS/annum</t>
  </si>
  <si>
    <t>NET margins</t>
  </si>
  <si>
    <t xml:space="preserve">Net Margins </t>
  </si>
  <si>
    <t>Net margins</t>
  </si>
  <si>
    <t>Heating 'Energy saved</t>
  </si>
  <si>
    <t>KWH /year</t>
  </si>
  <si>
    <t>Roof ceiling insulation materials</t>
  </si>
  <si>
    <t>Labor and installation</t>
  </si>
  <si>
    <r>
      <rPr>
        <sz val="9"/>
        <color theme="1"/>
        <rFont val="Arial"/>
        <family val="2"/>
      </rPr>
      <t>Trasport/contingenc</t>
    </r>
    <r>
      <rPr>
        <b/>
        <sz val="9"/>
        <color theme="1"/>
        <rFont val="Arial"/>
        <family val="2"/>
      </rPr>
      <t>y</t>
    </r>
  </si>
  <si>
    <t>KWH/year</t>
  </si>
  <si>
    <t>Improved thermal comfort</t>
  </si>
  <si>
    <t>KGS/year</t>
  </si>
  <si>
    <t>Heating Enegy saved</t>
  </si>
  <si>
    <t>Improved thermal comfort / productivity</t>
  </si>
  <si>
    <t>KGS/household/Year</t>
  </si>
  <si>
    <t>opex</t>
  </si>
  <si>
    <t>Initial working cost</t>
  </si>
  <si>
    <t>improved airflow</t>
  </si>
  <si>
    <t>kgs</t>
  </si>
  <si>
    <t xml:space="preserve">cost of capital </t>
  </si>
  <si>
    <t>installation</t>
  </si>
  <si>
    <t>Improved airflow</t>
  </si>
  <si>
    <t>Electricity /heating energy saved</t>
  </si>
  <si>
    <t>kgs$</t>
  </si>
  <si>
    <t>Actual Investment ('000 KGS)</t>
  </si>
  <si>
    <t>ENPV ('000 KGS)</t>
  </si>
  <si>
    <t>FNPV ('000 KGS)</t>
  </si>
  <si>
    <t xml:space="preserve">OPEX </t>
  </si>
  <si>
    <t>OPEX – Roof and Ceilling insulation</t>
  </si>
  <si>
    <t>KGS/annum</t>
  </si>
  <si>
    <t>KWH</t>
  </si>
  <si>
    <t>Price (KGS)</t>
  </si>
  <si>
    <t>Wages and Labor/maintenance, material replacements, repair</t>
  </si>
  <si>
    <t>Wages and Labor, maintenance, repair, etc</t>
  </si>
  <si>
    <t>wages and Labor; maintenance, repair , cleaning</t>
  </si>
  <si>
    <t>kgm</t>
  </si>
  <si>
    <t>wages and Labor, electricity expenses, maintenance</t>
  </si>
  <si>
    <t>kgs/annum</t>
  </si>
  <si>
    <t>Kgs/annum</t>
  </si>
  <si>
    <t>Kgs</t>
  </si>
  <si>
    <t>Kgs/anuum</t>
  </si>
  <si>
    <t>Actual Investment (USD)</t>
  </si>
  <si>
    <t>ENPV (USD)</t>
  </si>
  <si>
    <t>FNPV (USD)</t>
  </si>
  <si>
    <t>Roof and Ceiling Insulation</t>
  </si>
  <si>
    <t>Wall Insulation</t>
  </si>
  <si>
    <t>Efficient Windows (Double/Triple Glazing)</t>
  </si>
  <si>
    <t>Efficient Heating System</t>
  </si>
  <si>
    <t>Air Sealing / Draft Proofing</t>
  </si>
  <si>
    <t>Total 1 unit investment cost</t>
  </si>
  <si>
    <t>Total 1 Unit Investment Cost</t>
  </si>
  <si>
    <t>10% Decrease in Revenue</t>
  </si>
  <si>
    <t>10% Increase in Cost</t>
  </si>
  <si>
    <t>2-Year Delayed Return</t>
  </si>
  <si>
    <t>US$1.18 million</t>
  </si>
  <si>
    <t>US$1.11 million</t>
  </si>
  <si>
    <t>US$0.74 million</t>
  </si>
  <si>
    <t>US$1.00 million</t>
  </si>
  <si>
    <t>US$1.06 million</t>
  </si>
  <si>
    <t>US$0.18 million</t>
  </si>
  <si>
    <t>US$1.30 million</t>
  </si>
  <si>
    <t>US$0.19 million</t>
  </si>
  <si>
    <t>Scenario2</t>
  </si>
  <si>
    <t>FNPV (USD)3</t>
  </si>
  <si>
    <t>ENPV (USD)4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</si>
</sst>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#,##0_ ;[Red]\-#,##0\ "/>
    <numFmt numFmtId="166" formatCode="#,##0;\-#,##0;\-"/>
    <numFmt numFmtId="167" formatCode="_(* #,##0.000_);_(* \(#,##0.000\);_(* &quot;-&quot;??_);_(@_)"/>
    <numFmt numFmtId="168" formatCode="_-* #,##0_-;\-* #,##0_-;_-* &quot;-&quot;??_-;_-@_-"/>
    <numFmt numFmtId="169" formatCode="_(* #,##0.0_);_(* \(#,##0.0\);_(* &quot;-&quot;?_);_(@_)"/>
    <numFmt numFmtId="172" formatCode="_(* #,##0_);_(* \(#,##0\);_(* &quot;-&quot;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8"/>
      <name val="Arial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10BD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rgb="FF333333"/>
      <name val="Arial"/>
      <family val="2"/>
    </font>
    <font>
      <sz val="11"/>
      <color theme="1"/>
      <name val="Times New Roman"/>
      <family val="1"/>
    </font>
    <font>
      <b/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rgb="FF010BD9"/>
      <name val="Arial"/>
      <family val="2"/>
    </font>
    <font>
      <b/>
      <sz val="11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color rgb="FF9C65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4" fillId="0" borderId="0"/>
    <xf numFmtId="0" fontId="1" fillId="0" borderId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5" fillId="0" borderId="15" applyNumberFormat="0" applyFill="0" applyAlignment="0" applyProtection="0"/>
    <xf numFmtId="0" fontId="25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8" borderId="16" applyNumberFormat="0" applyAlignment="0" applyProtection="0"/>
    <xf numFmtId="0" fontId="29" fillId="9" borderId="17" applyNumberFormat="0" applyAlignment="0" applyProtection="0"/>
    <xf numFmtId="0" fontId="30" fillId="9" borderId="16" applyNumberFormat="0" applyAlignment="0" applyProtection="0"/>
    <xf numFmtId="0" fontId="31" fillId="0" borderId="18" applyNumberFormat="0" applyFill="0" applyAlignment="0" applyProtection="0"/>
    <xf numFmtId="0" fontId="32" fillId="10" borderId="19" applyNumberFormat="0" applyAlignment="0" applyProtection="0"/>
    <xf numFmtId="0" fontId="33" fillId="0" borderId="0" applyNumberFormat="0" applyFill="0" applyBorder="0" applyAlignment="0" applyProtection="0"/>
    <xf numFmtId="0" fontId="1" fillId="11" borderId="20" applyNumberFormat="0" applyFont="0" applyAlignment="0" applyProtection="0"/>
    <xf numFmtId="0" fontId="34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3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8" fillId="7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4" fillId="0" borderId="0"/>
  </cellStyleXfs>
  <cellXfs count="124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5" fillId="0" borderId="4" xfId="0" applyFont="1" applyBorder="1"/>
    <xf numFmtId="0" fontId="5" fillId="0" borderId="5" xfId="0" applyFont="1" applyBorder="1"/>
    <xf numFmtId="9" fontId="0" fillId="0" borderId="0" xfId="2" applyFont="1"/>
    <xf numFmtId="0" fontId="5" fillId="0" borderId="6" xfId="0" applyFont="1" applyBorder="1"/>
    <xf numFmtId="164" fontId="5" fillId="0" borderId="6" xfId="1" applyNumberFormat="1" applyFont="1" applyBorder="1" applyAlignment="1">
      <alignment horizontal="left" indent="1"/>
    </xf>
    <xf numFmtId="165" fontId="5" fillId="0" borderId="6" xfId="0" applyNumberFormat="1" applyFont="1" applyBorder="1" applyAlignment="1">
      <alignment horizontal="right"/>
    </xf>
    <xf numFmtId="9" fontId="5" fillId="0" borderId="6" xfId="0" applyNumberFormat="1" applyFont="1" applyBorder="1" applyAlignment="1">
      <alignment horizontal="right"/>
    </xf>
    <xf numFmtId="164" fontId="0" fillId="0" borderId="0" xfId="1" applyNumberFormat="1" applyFont="1"/>
    <xf numFmtId="164" fontId="0" fillId="0" borderId="0" xfId="0" applyNumberFormat="1"/>
    <xf numFmtId="43" fontId="0" fillId="0" borderId="0" xfId="1" applyFont="1"/>
    <xf numFmtId="9" fontId="0" fillId="0" borderId="0" xfId="0" applyNumberFormat="1"/>
    <xf numFmtId="0" fontId="5" fillId="0" borderId="1" xfId="0" applyFont="1" applyBorder="1"/>
    <xf numFmtId="43" fontId="0" fillId="0" borderId="0" xfId="0" applyNumberFormat="1"/>
    <xf numFmtId="166" fontId="6" fillId="0" borderId="0" xfId="3" applyNumberFormat="1" applyAlignment="1">
      <alignment horizontal="right"/>
    </xf>
    <xf numFmtId="9" fontId="5" fillId="0" borderId="6" xfId="2" applyFont="1" applyBorder="1" applyAlignment="1">
      <alignment horizontal="right" indent="1"/>
    </xf>
    <xf numFmtId="9" fontId="4" fillId="0" borderId="6" xfId="0" applyNumberFormat="1" applyFont="1" applyBorder="1" applyAlignment="1">
      <alignment horizontal="right"/>
    </xf>
    <xf numFmtId="0" fontId="2" fillId="0" borderId="0" xfId="0" applyFont="1"/>
    <xf numFmtId="9" fontId="2" fillId="0" borderId="0" xfId="2" applyFont="1"/>
    <xf numFmtId="43" fontId="2" fillId="0" borderId="0" xfId="0" applyNumberFormat="1" applyFont="1"/>
    <xf numFmtId="9" fontId="2" fillId="0" borderId="0" xfId="0" applyNumberFormat="1" applyFont="1"/>
    <xf numFmtId="164" fontId="4" fillId="0" borderId="6" xfId="1" applyNumberFormat="1" applyFont="1" applyBorder="1" applyAlignment="1">
      <alignment horizontal="left" indent="1"/>
    </xf>
    <xf numFmtId="0" fontId="8" fillId="0" borderId="4" xfId="0" applyFont="1" applyBorder="1"/>
    <xf numFmtId="164" fontId="9" fillId="0" borderId="0" xfId="1" applyNumberFormat="1" applyFont="1" applyFill="1" applyBorder="1"/>
    <xf numFmtId="164" fontId="7" fillId="0" borderId="6" xfId="1" applyNumberFormat="1" applyFont="1" applyBorder="1" applyAlignment="1">
      <alignment horizontal="left" indent="1"/>
    </xf>
    <xf numFmtId="9" fontId="7" fillId="0" borderId="6" xfId="0" applyNumberFormat="1" applyFont="1" applyBorder="1" applyAlignment="1">
      <alignment horizontal="right"/>
    </xf>
    <xf numFmtId="164" fontId="2" fillId="0" borderId="0" xfId="1" applyNumberFormat="1" applyFont="1"/>
    <xf numFmtId="43" fontId="10" fillId="0" borderId="0" xfId="1" applyFont="1"/>
    <xf numFmtId="167" fontId="0" fillId="0" borderId="0" xfId="0" applyNumberFormat="1"/>
    <xf numFmtId="4" fontId="0" fillId="0" borderId="0" xfId="0" applyNumberFormat="1"/>
    <xf numFmtId="0" fontId="11" fillId="0" borderId="0" xfId="0" applyFont="1"/>
    <xf numFmtId="0" fontId="11" fillId="0" borderId="2" xfId="0" applyFont="1" applyBorder="1"/>
    <xf numFmtId="0" fontId="13" fillId="0" borderId="2" xfId="0" applyFont="1" applyBorder="1"/>
    <xf numFmtId="168" fontId="13" fillId="0" borderId="2" xfId="1" applyNumberFormat="1" applyFont="1" applyBorder="1"/>
    <xf numFmtId="168" fontId="11" fillId="0" borderId="2" xfId="1" applyNumberFormat="1" applyFont="1" applyBorder="1"/>
    <xf numFmtId="0" fontId="15" fillId="3" borderId="0" xfId="4" applyFont="1" applyFill="1" applyAlignment="1">
      <alignment horizontal="left"/>
    </xf>
    <xf numFmtId="168" fontId="11" fillId="0" borderId="2" xfId="1" applyNumberFormat="1" applyFont="1" applyFill="1" applyBorder="1"/>
    <xf numFmtId="0" fontId="13" fillId="0" borderId="2" xfId="0" applyFont="1" applyBorder="1" applyAlignment="1">
      <alignment horizontal="left"/>
    </xf>
    <xf numFmtId="164" fontId="16" fillId="0" borderId="0" xfId="1" applyNumberFormat="1" applyFont="1"/>
    <xf numFmtId="0" fontId="17" fillId="0" borderId="0" xfId="5" applyFont="1"/>
    <xf numFmtId="0" fontId="0" fillId="0" borderId="0" xfId="0" applyAlignment="1">
      <alignment horizontal="center"/>
    </xf>
    <xf numFmtId="0" fontId="11" fillId="4" borderId="2" xfId="0" applyFont="1" applyFill="1" applyBorder="1"/>
    <xf numFmtId="168" fontId="0" fillId="0" borderId="0" xfId="0" applyNumberFormat="1"/>
    <xf numFmtId="43" fontId="11" fillId="0" borderId="2" xfId="1" applyFont="1" applyBorder="1"/>
    <xf numFmtId="0" fontId="18" fillId="0" borderId="1" xfId="0" applyFont="1" applyBorder="1" applyAlignment="1">
      <alignment horizontal="right"/>
    </xf>
    <xf numFmtId="0" fontId="18" fillId="0" borderId="9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9" fontId="18" fillId="0" borderId="2" xfId="2" applyFont="1" applyBorder="1"/>
    <xf numFmtId="168" fontId="3" fillId="0" borderId="2" xfId="1" applyNumberFormat="1" applyFont="1" applyBorder="1"/>
    <xf numFmtId="168" fontId="18" fillId="0" borderId="2" xfId="1" applyNumberFormat="1" applyFont="1" applyBorder="1"/>
    <xf numFmtId="168" fontId="18" fillId="0" borderId="11" xfId="1" applyNumberFormat="1" applyFont="1" applyBorder="1"/>
    <xf numFmtId="168" fontId="3" fillId="0" borderId="11" xfId="1" applyNumberFormat="1" applyFont="1" applyBorder="1"/>
    <xf numFmtId="168" fontId="19" fillId="4" borderId="11" xfId="1" applyNumberFormat="1" applyFont="1" applyFill="1" applyBorder="1"/>
    <xf numFmtId="168" fontId="11" fillId="0" borderId="0" xfId="1" applyNumberFormat="1" applyFont="1"/>
    <xf numFmtId="0" fontId="20" fillId="0" borderId="0" xfId="0" applyFont="1"/>
    <xf numFmtId="0" fontId="11" fillId="0" borderId="2" xfId="0" quotePrefix="1" applyFont="1" applyBorder="1" applyAlignment="1">
      <alignment horizontal="left" wrapText="1" indent="1"/>
    </xf>
    <xf numFmtId="0" fontId="11" fillId="0" borderId="2" xfId="0" quotePrefix="1" applyFont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0" fontId="21" fillId="0" borderId="12" xfId="0" applyFont="1" applyBorder="1"/>
    <xf numFmtId="164" fontId="39" fillId="36" borderId="22" xfId="1" applyNumberFormat="1" applyFont="1" applyFill="1" applyBorder="1" applyAlignment="1">
      <alignment horizontal="center" vertical="center"/>
    </xf>
    <xf numFmtId="164" fontId="39" fillId="36" borderId="23" xfId="1" applyNumberFormat="1" applyFont="1" applyFill="1" applyBorder="1" applyAlignment="1">
      <alignment horizontal="center" vertical="center"/>
    </xf>
    <xf numFmtId="164" fontId="39" fillId="36" borderId="24" xfId="1" applyNumberFormat="1" applyFont="1" applyFill="1" applyBorder="1" applyAlignment="1">
      <alignment horizontal="center" vertical="center"/>
    </xf>
    <xf numFmtId="1" fontId="0" fillId="0" borderId="0" xfId="0" applyNumberFormat="1"/>
    <xf numFmtId="10" fontId="0" fillId="0" borderId="0" xfId="1" applyNumberFormat="1" applyFont="1"/>
    <xf numFmtId="164" fontId="40" fillId="0" borderId="0" xfId="0" applyNumberFormat="1" applyFont="1"/>
    <xf numFmtId="3" fontId="0" fillId="0" borderId="0" xfId="0" applyNumberFormat="1"/>
    <xf numFmtId="0" fontId="4" fillId="0" borderId="4" xfId="0" applyFont="1" applyBorder="1" applyAlignment="1">
      <alignment wrapText="1"/>
    </xf>
    <xf numFmtId="164" fontId="8" fillId="0" borderId="6" xfId="1" applyNumberFormat="1" applyFont="1" applyBorder="1" applyAlignment="1">
      <alignment horizontal="left" indent="1"/>
    </xf>
    <xf numFmtId="169" fontId="0" fillId="0" borderId="0" xfId="0" applyNumberFormat="1"/>
    <xf numFmtId="0" fontId="7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8" fillId="0" borderId="6" xfId="0" applyFont="1" applyBorder="1"/>
    <xf numFmtId="0" fontId="7" fillId="0" borderId="6" xfId="0" applyFont="1" applyBorder="1" applyAlignment="1">
      <alignment vertical="top" wrapText="1"/>
    </xf>
    <xf numFmtId="164" fontId="10" fillId="0" borderId="0" xfId="1" applyNumberFormat="1" applyFont="1"/>
    <xf numFmtId="172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8" fontId="0" fillId="0" borderId="0" xfId="0" applyNumberFormat="1"/>
    <xf numFmtId="164" fontId="0" fillId="0" borderId="0" xfId="2" applyNumberFormat="1" applyFont="1"/>
    <xf numFmtId="8" fontId="0" fillId="0" borderId="0" xfId="2" applyNumberFormat="1" applyFont="1"/>
    <xf numFmtId="0" fontId="32" fillId="37" borderId="25" xfId="0" applyFont="1" applyFill="1" applyBorder="1"/>
    <xf numFmtId="0" fontId="32" fillId="37" borderId="26" xfId="0" applyFont="1" applyFill="1" applyBorder="1"/>
    <xf numFmtId="0" fontId="32" fillId="37" borderId="27" xfId="0" applyFont="1" applyFill="1" applyBorder="1"/>
    <xf numFmtId="0" fontId="0" fillId="38" borderId="25" xfId="0" applyFill="1" applyBorder="1"/>
    <xf numFmtId="9" fontId="0" fillId="38" borderId="26" xfId="0" applyNumberFormat="1" applyFill="1" applyBorder="1"/>
    <xf numFmtId="164" fontId="0" fillId="38" borderId="26" xfId="0" applyNumberFormat="1" applyFill="1" applyBorder="1"/>
    <xf numFmtId="164" fontId="0" fillId="38" borderId="27" xfId="0" applyNumberFormat="1" applyFill="1" applyBorder="1"/>
    <xf numFmtId="0" fontId="0" fillId="0" borderId="25" xfId="0" applyBorder="1"/>
    <xf numFmtId="9" fontId="0" fillId="0" borderId="26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0" fontId="11" fillId="0" borderId="2" xfId="0" applyFont="1" applyBorder="1" applyAlignment="1">
      <alignment horizontal="left" wrapText="1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41" fillId="0" borderId="0" xfId="0" applyNumberFormat="1" applyFont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8" fillId="2" borderId="9" xfId="0" applyFont="1" applyFill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8" fillId="2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2" fillId="2" borderId="0" xfId="0" applyFont="1" applyFill="1" applyAlignment="1">
      <alignment horizontal="center"/>
    </xf>
    <xf numFmtId="168" fontId="13" fillId="0" borderId="7" xfId="1" applyNumberFormat="1" applyFont="1" applyBorder="1" applyAlignment="1">
      <alignment horizontal="center"/>
    </xf>
    <xf numFmtId="168" fontId="13" fillId="0" borderId="8" xfId="1" applyNumberFormat="1" applyFont="1" applyBorder="1" applyAlignment="1">
      <alignment horizontal="center"/>
    </xf>
    <xf numFmtId="0" fontId="18" fillId="0" borderId="1" xfId="0" applyFont="1" applyBorder="1" applyAlignment="1">
      <alignment horizontal="right"/>
    </xf>
    <xf numFmtId="0" fontId="18" fillId="0" borderId="9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168" fontId="13" fillId="0" borderId="1" xfId="1" applyNumberFormat="1" applyFont="1" applyBorder="1" applyAlignment="1">
      <alignment horizontal="center"/>
    </xf>
    <xf numFmtId="168" fontId="13" fillId="0" borderId="9" xfId="1" applyNumberFormat="1" applyFont="1" applyBorder="1" applyAlignment="1">
      <alignment horizontal="center"/>
    </xf>
    <xf numFmtId="168" fontId="13" fillId="0" borderId="10" xfId="1" applyNumberFormat="1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21" fillId="0" borderId="12" xfId="0" applyFont="1" applyBorder="1" applyAlignment="1">
      <alignment wrapText="1"/>
    </xf>
  </cellXfs>
  <cellStyles count="66">
    <cellStyle name="20% - Accent1" xfId="23" builtinId="30" customBuiltin="1"/>
    <cellStyle name="20% - Accent2" xfId="26" builtinId="34" customBuiltin="1"/>
    <cellStyle name="20% - Accent3" xfId="29" builtinId="38" customBuiltin="1"/>
    <cellStyle name="20% - Accent4" xfId="32" builtinId="42" customBuiltin="1"/>
    <cellStyle name="20% - Accent5" xfId="35" builtinId="46" customBuiltin="1"/>
    <cellStyle name="20% - Accent6" xfId="38" builtinId="50" customBuiltin="1"/>
    <cellStyle name="40% - Accent1" xfId="24" builtinId="31" customBuiltin="1"/>
    <cellStyle name="40% - Accent2" xfId="27" builtinId="35" customBuiltin="1"/>
    <cellStyle name="40% - Accent3" xfId="30" builtinId="39" customBuiltin="1"/>
    <cellStyle name="40% - Accent4" xfId="33" builtinId="43" customBuiltin="1"/>
    <cellStyle name="40% - Accent5" xfId="36" builtinId="47" customBuiltin="1"/>
    <cellStyle name="40% - Accent6" xfId="39" builtinId="51" customBuiltin="1"/>
    <cellStyle name="60% - Accent1 2" xfId="45" xr:uid="{7F75AD0C-2E29-4EE6-89E4-C8273D599CB2}"/>
    <cellStyle name="60% - Accent2 2" xfId="46" xr:uid="{FE99BE36-0502-408E-8402-4A7FF6259704}"/>
    <cellStyle name="60% - Accent3 2" xfId="47" xr:uid="{704339B1-DE17-47F7-B8A5-2D3DDE901C40}"/>
    <cellStyle name="60% - Accent4 2" xfId="48" xr:uid="{2DBB4900-D5CF-4224-9429-757A2376B3B7}"/>
    <cellStyle name="60% - Accent5 2" xfId="49" xr:uid="{47BEDE05-C053-469B-B4CA-F81EC3D0992E}"/>
    <cellStyle name="60% - Accent6 2" xfId="50" xr:uid="{F511D4A8-1EE6-41F6-AB6D-5AC0310854F1}"/>
    <cellStyle name="Accent1" xfId="22" builtinId="29" customBuiltin="1"/>
    <cellStyle name="Accent2" xfId="25" builtinId="33" customBuiltin="1"/>
    <cellStyle name="Accent3" xfId="28" builtinId="37" customBuiltin="1"/>
    <cellStyle name="Accent4" xfId="31" builtinId="41" customBuiltin="1"/>
    <cellStyle name="Accent5" xfId="34" builtinId="45" customBuiltin="1"/>
    <cellStyle name="Accent6" xfId="37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" xfId="1" builtinId="3"/>
    <cellStyle name="Comma 10 10" xfId="62" xr:uid="{33B05B2E-3848-488E-BF91-2EA52D9A3D75}"/>
    <cellStyle name="Comma 16" xfId="59" xr:uid="{31BC9AFC-ABD8-428B-AA57-7868E83C00E7}"/>
    <cellStyle name="Comma 2" xfId="52" xr:uid="{C2DB6EC5-86C5-41D4-9A22-2DA6C6E19C65}"/>
    <cellStyle name="Comma 2 2" xfId="53" xr:uid="{DF338893-1ACA-45F4-AA8D-0821F4A2F20D}"/>
    <cellStyle name="Comma 2 2 10" xfId="64" xr:uid="{512271CD-2C81-4998-99A4-6A912224C846}"/>
    <cellStyle name="Comma 3" xfId="54" xr:uid="{15753D29-1599-4D5A-911E-1E2ECF076CD1}"/>
    <cellStyle name="Comma 4" xfId="41" xr:uid="{053CA7B1-0BCD-4808-A964-3B2F74C6F56C}"/>
    <cellStyle name="Comma 5" xfId="43" xr:uid="{939E1798-F42C-4A54-99B0-66ADB833D092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 2" xfId="44" xr:uid="{6F950C09-C255-43C2-A0A0-B036BC94D8DD}"/>
    <cellStyle name="Normal" xfId="0" builtinId="0"/>
    <cellStyle name="Normal 16" xfId="60" xr:uid="{643089C7-171A-4E67-9923-9701A5D5ADD0}"/>
    <cellStyle name="Normal 2" xfId="5" xr:uid="{BD49E90F-B2EF-4810-BB25-1046A8927AC3}"/>
    <cellStyle name="Normal 2 10" xfId="4" xr:uid="{9E4F1F87-9F24-414C-AAD0-73CC599B0455}"/>
    <cellStyle name="Normal 2 2" xfId="55" xr:uid="{A6C29F83-8AF6-494D-A562-230522426697}"/>
    <cellStyle name="Normal 2 3" xfId="65" xr:uid="{A2B45C37-75B5-40D1-AB57-95C7B9C96D90}"/>
    <cellStyle name="Normal 3" xfId="56" xr:uid="{E4A58512-F82D-4460-8385-A190C3A65B72}"/>
    <cellStyle name="Normal 4" xfId="40" xr:uid="{F005BB38-8D9D-4B31-BE75-0D43869EA68C}"/>
    <cellStyle name="Normal 5" xfId="51" xr:uid="{FD434958-2DC8-496F-BA9F-FC5A57B594C9}"/>
    <cellStyle name="Normal_COMFIN 2" xfId="3" xr:uid="{B4A485BB-A144-4F49-83F1-036CDC86B410}"/>
    <cellStyle name="Note" xfId="19" builtinId="10" customBuiltin="1"/>
    <cellStyle name="Output" xfId="14" builtinId="21" customBuiltin="1"/>
    <cellStyle name="Percent" xfId="2" builtinId="5"/>
    <cellStyle name="Percent 10" xfId="61" xr:uid="{27DB7A69-84EB-4E46-BDBE-290406927195}"/>
    <cellStyle name="Percent 2" xfId="58" xr:uid="{286088F8-1676-4382-A826-F62FE5E61D62}"/>
    <cellStyle name="Percent 2 10" xfId="63" xr:uid="{710C751F-6C97-4757-A6FB-6EEF4880C625}"/>
    <cellStyle name="Percent 2 2" xfId="42" xr:uid="{310F4872-1E1E-45A3-95F4-F050CDB4F9B9}"/>
    <cellStyle name="Percent 3" xfId="57" xr:uid="{2651B0A5-4717-4908-BFB5-BBFC8B6C52C3}"/>
    <cellStyle name="Title" xfId="6" builtinId="15" customBuiltin="1"/>
    <cellStyle name="Total" xfId="21" builtinId="25" customBuiltin="1"/>
    <cellStyle name="Warning Text" xfId="18" builtinId="11" customBuiltin="1"/>
  </cellStyles>
  <dxfs count="3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9649F-1232-4A35-BD1F-C4AA011507A4}" name="Table1" displayName="Table1" ref="J57:L61" totalsRowShown="0">
  <autoFilter ref="J57:L61" xr:uid="{5CA9649F-1232-4A35-BD1F-C4AA011507A4}"/>
  <tableColumns count="3">
    <tableColumn id="4" xr3:uid="{1AD173F5-41CA-4490-B8B6-0B1CD08FD4C4}" name="Scenario2" dataDxfId="2"/>
    <tableColumn id="5" xr3:uid="{09CB3523-8B3C-47CB-887E-B7C002112E2C}" name="FNPV (USD)3" dataDxfId="1"/>
    <tableColumn id="6" xr3:uid="{2FCF2C47-34C2-4E41-8CB2-E90A77D27D99}" name="ENPV (USD)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E1AA-53E9-4AE7-BC7C-2386BFA2936B}">
  <dimension ref="A1:Q32"/>
  <sheetViews>
    <sheetView tabSelected="1" topLeftCell="A2" workbookViewId="0">
      <selection activeCell="K25" sqref="K25"/>
    </sheetView>
  </sheetViews>
  <sheetFormatPr defaultRowHeight="15" x14ac:dyDescent="0.25"/>
  <cols>
    <col min="1" max="1" width="33.28515625" customWidth="1"/>
    <col min="2" max="2" width="29.140625" customWidth="1"/>
    <col min="3" max="3" width="16.28515625" customWidth="1"/>
    <col min="4" max="4" width="10" customWidth="1"/>
    <col min="5" max="5" width="20" customWidth="1"/>
    <col min="6" max="6" width="17.42578125" customWidth="1"/>
    <col min="7" max="7" width="11.28515625" customWidth="1"/>
    <col min="11" max="11" width="17.42578125" customWidth="1"/>
    <col min="12" max="12" width="15.28515625" bestFit="1" customWidth="1"/>
    <col min="13" max="13" width="16.85546875" bestFit="1" customWidth="1"/>
    <col min="16" max="16" width="16.85546875" customWidth="1"/>
  </cols>
  <sheetData>
    <row r="1" spans="1:17" x14ac:dyDescent="0.25">
      <c r="A1" s="1"/>
      <c r="B1" s="1"/>
      <c r="C1" s="1"/>
      <c r="D1" s="1"/>
      <c r="E1" s="1"/>
      <c r="F1" s="1"/>
    </row>
    <row r="2" spans="1:17" x14ac:dyDescent="0.25">
      <c r="A2" s="2" t="s">
        <v>0</v>
      </c>
      <c r="B2" s="2" t="s">
        <v>202</v>
      </c>
      <c r="C2" s="2" t="s">
        <v>203</v>
      </c>
      <c r="D2" s="3" t="s">
        <v>1</v>
      </c>
      <c r="E2" s="2" t="s">
        <v>204</v>
      </c>
      <c r="F2" s="3" t="s">
        <v>2</v>
      </c>
      <c r="G2" s="4"/>
    </row>
    <row r="3" spans="1:17" ht="26.25" x14ac:dyDescent="0.25">
      <c r="A3" s="71" t="s">
        <v>83</v>
      </c>
      <c r="B3" s="5"/>
      <c r="C3" s="6"/>
      <c r="D3" s="7"/>
      <c r="E3" s="6"/>
      <c r="F3" s="7"/>
      <c r="G3" s="8"/>
      <c r="H3" s="8"/>
    </row>
    <row r="4" spans="1:17" x14ac:dyDescent="0.25">
      <c r="A4" s="9" t="s">
        <v>132</v>
      </c>
      <c r="B4" s="10">
        <f>('Roof and Ceilling insulation'!F12+'Roof and Ceilling insulation'!F16)/1000</f>
        <v>1045</v>
      </c>
      <c r="C4" s="11">
        <f>'Roof and Ceilling insulation'!G59/1000</f>
        <v>353.11373591727323</v>
      </c>
      <c r="D4" s="12">
        <f>'Roof and Ceilling insulation'!G58</f>
        <v>0.15578104782472368</v>
      </c>
      <c r="E4" s="11">
        <f>'Roof and Ceilling insulation'!G26/1000</f>
        <v>282.10562883740727</v>
      </c>
      <c r="F4" s="12">
        <f>'Roof and Ceilling insulation'!G25</f>
        <v>0.21885914986728561</v>
      </c>
      <c r="G4" s="67"/>
      <c r="H4" s="8"/>
      <c r="K4" t="s">
        <v>131</v>
      </c>
      <c r="L4" s="13">
        <v>9000000</v>
      </c>
      <c r="O4" s="81"/>
      <c r="P4" s="82"/>
    </row>
    <row r="5" spans="1:17" x14ac:dyDescent="0.25">
      <c r="A5" s="9" t="s">
        <v>133</v>
      </c>
      <c r="B5" s="10">
        <f>('Wall insulation'!F12+'Wall insulation'!F23)/1000</f>
        <v>1210</v>
      </c>
      <c r="C5" s="10">
        <f>'Wall insulation'!G72/1000</f>
        <v>831.05171384598702</v>
      </c>
      <c r="D5" s="12">
        <f>'Efficient Windows (Double Tripl'!G69</f>
        <v>0.16945185122815221</v>
      </c>
      <c r="E5" s="10">
        <f>'Wall insulation'!G33/1000</f>
        <v>982.04627571737296</v>
      </c>
      <c r="F5" s="12">
        <f>'Wall insulation'!G32</f>
        <v>0.24516552854197604</v>
      </c>
      <c r="G5" s="67"/>
      <c r="H5" s="8"/>
      <c r="K5" t="s">
        <v>137</v>
      </c>
      <c r="L5" s="14">
        <f>L4*87</f>
        <v>783000000</v>
      </c>
      <c r="M5" s="15"/>
      <c r="P5" s="14"/>
      <c r="Q5" s="15"/>
    </row>
    <row r="6" spans="1:17" x14ac:dyDescent="0.25">
      <c r="A6" s="9" t="s">
        <v>134</v>
      </c>
      <c r="B6" s="10">
        <f>('Efficient Windows (Double Tripl'!H12+'Efficient Windows (Double Tripl'!H20)/1000</f>
        <v>4730</v>
      </c>
      <c r="C6" s="11">
        <f>'Efficient Windows (Double Tripl'!G70/1000</f>
        <v>2595.2071319401116</v>
      </c>
      <c r="D6" s="12">
        <f>'Wall insulation'!G71</f>
        <v>0.21759985801697379</v>
      </c>
      <c r="E6" s="11">
        <f>'Efficient Windows (Double Tripl'!G70/1000</f>
        <v>2595.2071319401116</v>
      </c>
      <c r="F6" s="12">
        <f>'Efficient Windows (Double Tripl'!G29</f>
        <v>0.10640256541414495</v>
      </c>
      <c r="G6" s="67"/>
      <c r="H6" s="8"/>
    </row>
    <row r="7" spans="1:17" x14ac:dyDescent="0.25">
      <c r="A7" s="9" t="s">
        <v>135</v>
      </c>
      <c r="B7" s="10">
        <f>('Efficient heating systems'!G13+'Efficient heating systems'!G23)/1000</f>
        <v>280</v>
      </c>
      <c r="C7" s="11">
        <f>'Efficient heating systems'!G65/1000</f>
        <v>225.51345033310602</v>
      </c>
      <c r="D7" s="12">
        <f>'Efficient heating systems'!G64</f>
        <v>0.18083253443643299</v>
      </c>
      <c r="E7" s="11">
        <f>'Efficient heating systems'!G32/1000</f>
        <v>496.67285161881881</v>
      </c>
      <c r="F7" s="12">
        <f>'Efficient heating systems'!G31</f>
        <v>0.38791303168507651</v>
      </c>
      <c r="G7" s="67"/>
      <c r="H7" s="8"/>
      <c r="K7" s="9" t="s">
        <v>132</v>
      </c>
      <c r="L7" s="15">
        <f>L5*0.3</f>
        <v>234900000</v>
      </c>
      <c r="M7" s="16">
        <v>0.3</v>
      </c>
      <c r="P7" s="15"/>
      <c r="Q7" s="16"/>
    </row>
    <row r="8" spans="1:17" x14ac:dyDescent="0.25">
      <c r="A8" s="17" t="s">
        <v>136</v>
      </c>
      <c r="B8" s="10">
        <f>('Air Sealing   Draft Proofing'!F13+'Air Sealing   Draft Proofing'!F23)/1000</f>
        <v>330</v>
      </c>
      <c r="C8" s="11">
        <f>'Air Sealing   Draft Proofing'!G67/1000</f>
        <v>171.73268398820224</v>
      </c>
      <c r="D8" s="12">
        <f>'Air Sealing   Draft Proofing'!G66</f>
        <v>0.25646279756097212</v>
      </c>
      <c r="E8" s="11">
        <f>-('Air Sealing   Draft Proofing'!G33)/1000</f>
        <v>257.38214657190878</v>
      </c>
      <c r="F8" s="12">
        <f>'Air Sealing   Draft Proofing'!G32</f>
        <v>0.38269857873714774</v>
      </c>
      <c r="G8" s="14"/>
      <c r="H8" s="8"/>
      <c r="K8" s="9" t="s">
        <v>133</v>
      </c>
      <c r="L8" s="18">
        <f>L5*0.25</f>
        <v>195750000</v>
      </c>
      <c r="M8" s="16">
        <v>0.25</v>
      </c>
      <c r="P8" s="18"/>
      <c r="Q8" s="16"/>
    </row>
    <row r="9" spans="1:17" s="22" customFormat="1" x14ac:dyDescent="0.25">
      <c r="A9" s="27"/>
      <c r="B9" s="19"/>
      <c r="C9" s="10"/>
      <c r="D9" s="20"/>
      <c r="E9" s="10"/>
      <c r="F9" s="21"/>
      <c r="G9" s="79"/>
      <c r="H9" s="23"/>
      <c r="K9" s="9" t="s">
        <v>134</v>
      </c>
      <c r="L9" s="24">
        <f>L5*0.1</f>
        <v>78300000</v>
      </c>
      <c r="M9" s="25">
        <v>0.1</v>
      </c>
      <c r="O9"/>
      <c r="P9" s="24"/>
      <c r="Q9" s="25"/>
    </row>
    <row r="10" spans="1:17" s="22" customFormat="1" x14ac:dyDescent="0.25">
      <c r="A10" s="27"/>
      <c r="B10" s="72"/>
      <c r="C10" s="26"/>
      <c r="D10" s="21"/>
      <c r="E10" s="26"/>
      <c r="F10" s="21"/>
      <c r="G10" s="80"/>
      <c r="H10" s="23"/>
      <c r="K10" s="9" t="s">
        <v>135</v>
      </c>
      <c r="L10" s="24">
        <f>L5*0.25</f>
        <v>195750000</v>
      </c>
      <c r="M10" s="25">
        <v>0.25</v>
      </c>
      <c r="O10"/>
      <c r="P10" s="24"/>
      <c r="Q10" s="25"/>
    </row>
    <row r="11" spans="1:17" x14ac:dyDescent="0.25">
      <c r="A11" s="74" t="s">
        <v>227</v>
      </c>
      <c r="B11" s="10">
        <f>SUM(B4:B8)*1000</f>
        <v>7595000</v>
      </c>
      <c r="C11" s="11">
        <f>(SUM(C4:C8)/SUM(B4:B8))*B11</f>
        <v>4176618.7160246801</v>
      </c>
      <c r="D11" s="12">
        <f>(D4*B4+D5*B5+D6*B6+D7*B7)/(SUM(B4:B8))</f>
        <v>0.19061334733711488</v>
      </c>
      <c r="E11" s="11">
        <f>(SUM(E4:E8)/SUM(B4:B8))*B11</f>
        <v>4613414.0346856192</v>
      </c>
      <c r="F11" s="12">
        <f>(F4*B4+F5*B5+F6*B6+F7*B7)/SUM(B4:B8)</f>
        <v>0.14973770696877306</v>
      </c>
      <c r="G11" s="8"/>
      <c r="H11" s="8"/>
      <c r="K11" s="17" t="s">
        <v>136</v>
      </c>
      <c r="L11" s="18">
        <f>L5*0.1</f>
        <v>78300000</v>
      </c>
      <c r="M11" s="16">
        <v>0.1</v>
      </c>
      <c r="P11" s="18"/>
      <c r="Q11" s="16"/>
    </row>
    <row r="12" spans="1:17" x14ac:dyDescent="0.25">
      <c r="A12" s="75"/>
      <c r="B12" s="31"/>
      <c r="C12" s="29"/>
      <c r="D12" s="30"/>
      <c r="E12" s="29"/>
      <c r="F12" s="30"/>
      <c r="L12" s="73"/>
      <c r="M12" s="16"/>
      <c r="P12" s="73"/>
      <c r="Q12" s="16"/>
    </row>
    <row r="13" spans="1:17" x14ac:dyDescent="0.25">
      <c r="A13" s="76"/>
      <c r="C13" s="14"/>
      <c r="D13" s="8"/>
      <c r="E13" s="14"/>
      <c r="F13" s="16"/>
      <c r="G13" s="14"/>
      <c r="L13" s="73"/>
      <c r="M13" s="16"/>
      <c r="P13" s="73"/>
      <c r="Q13" s="16"/>
    </row>
    <row r="14" spans="1:17" x14ac:dyDescent="0.25">
      <c r="A14" s="76"/>
      <c r="C14" s="67"/>
      <c r="D14" s="16"/>
      <c r="E14" s="14"/>
      <c r="F14" s="16"/>
      <c r="G14" s="67"/>
    </row>
    <row r="15" spans="1:17" s="22" customFormat="1" x14ac:dyDescent="0.25">
      <c r="A15" s="76"/>
      <c r="B15" s="67"/>
      <c r="C15" s="67"/>
      <c r="D15" s="16"/>
      <c r="E15" s="13"/>
      <c r="F15" s="16"/>
      <c r="G15" s="14"/>
      <c r="H15"/>
      <c r="I15"/>
    </row>
    <row r="16" spans="1:17" x14ac:dyDescent="0.25">
      <c r="A16" s="76"/>
      <c r="C16" s="67"/>
      <c r="D16" s="16"/>
      <c r="E16" s="14"/>
      <c r="F16" s="16"/>
      <c r="G16" s="14"/>
    </row>
    <row r="17" spans="1:7" x14ac:dyDescent="0.25">
      <c r="A17" s="76"/>
      <c r="B17" s="67"/>
      <c r="C17" s="67"/>
      <c r="D17" s="16"/>
      <c r="E17" s="14"/>
      <c r="F17" s="16"/>
      <c r="G17" s="14"/>
    </row>
    <row r="18" spans="1:7" x14ac:dyDescent="0.25">
      <c r="A18" s="76"/>
      <c r="C18" s="67"/>
      <c r="D18" s="16"/>
      <c r="E18" s="78"/>
      <c r="F18" s="16"/>
      <c r="G18" s="14"/>
    </row>
    <row r="19" spans="1:7" x14ac:dyDescent="0.25">
      <c r="A19" s="77"/>
      <c r="C19" s="14"/>
      <c r="D19" s="8"/>
      <c r="E19" s="78"/>
      <c r="F19" s="8"/>
    </row>
    <row r="20" spans="1:7" x14ac:dyDescent="0.25">
      <c r="E20" s="32"/>
    </row>
    <row r="21" spans="1:7" x14ac:dyDescent="0.25">
      <c r="B21" s="33">
        <f>SUM(B4:B10)</f>
        <v>7595</v>
      </c>
      <c r="E21" s="32"/>
    </row>
    <row r="23" spans="1:7" x14ac:dyDescent="0.25">
      <c r="A23" t="s">
        <v>3</v>
      </c>
    </row>
    <row r="25" spans="1:7" x14ac:dyDescent="0.25">
      <c r="A25" s="98" t="s">
        <v>0</v>
      </c>
      <c r="B25" s="106" t="s">
        <v>219</v>
      </c>
      <c r="C25" s="106" t="s">
        <v>220</v>
      </c>
      <c r="D25" s="106" t="s">
        <v>1</v>
      </c>
      <c r="E25" s="106" t="s">
        <v>221</v>
      </c>
      <c r="F25" s="106" t="s">
        <v>2</v>
      </c>
    </row>
    <row r="26" spans="1:7" x14ac:dyDescent="0.25">
      <c r="A26" s="99" t="s">
        <v>222</v>
      </c>
      <c r="B26" s="108">
        <v>12011</v>
      </c>
      <c r="C26" s="108">
        <v>4057</v>
      </c>
      <c r="D26" s="107">
        <v>0.16</v>
      </c>
      <c r="E26" s="108">
        <v>3241</v>
      </c>
      <c r="F26" s="107">
        <v>0.22</v>
      </c>
    </row>
    <row r="27" spans="1:7" x14ac:dyDescent="0.25">
      <c r="A27" s="99" t="s">
        <v>223</v>
      </c>
      <c r="B27" s="108">
        <v>13908</v>
      </c>
      <c r="C27" s="108">
        <v>9552</v>
      </c>
      <c r="D27" s="107">
        <v>0.17</v>
      </c>
      <c r="E27" s="108">
        <v>11287</v>
      </c>
      <c r="F27" s="107">
        <v>0.25</v>
      </c>
    </row>
    <row r="28" spans="1:7" ht="30" x14ac:dyDescent="0.25">
      <c r="A28" s="99" t="s">
        <v>224</v>
      </c>
      <c r="B28" s="108">
        <v>54368</v>
      </c>
      <c r="C28" s="108">
        <v>29839</v>
      </c>
      <c r="D28" s="107">
        <v>0.22</v>
      </c>
      <c r="E28" s="108">
        <v>29839</v>
      </c>
      <c r="F28" s="107">
        <v>0.11</v>
      </c>
    </row>
    <row r="29" spans="1:7" x14ac:dyDescent="0.25">
      <c r="A29" s="99" t="s">
        <v>225</v>
      </c>
      <c r="B29" s="108">
        <v>3218</v>
      </c>
      <c r="C29" s="108">
        <v>2598</v>
      </c>
      <c r="D29" s="107">
        <v>0.18</v>
      </c>
      <c r="E29" s="108">
        <v>5713</v>
      </c>
      <c r="F29" s="107">
        <v>0.39</v>
      </c>
    </row>
    <row r="30" spans="1:7" x14ac:dyDescent="0.25">
      <c r="A30" s="99" t="s">
        <v>226</v>
      </c>
      <c r="B30" s="108">
        <v>3793</v>
      </c>
      <c r="C30" s="108">
        <v>1977</v>
      </c>
      <c r="D30" s="107">
        <v>0.26</v>
      </c>
      <c r="E30" s="108">
        <v>2954</v>
      </c>
      <c r="F30" s="107">
        <v>0.38</v>
      </c>
    </row>
    <row r="32" spans="1:7" x14ac:dyDescent="0.25">
      <c r="A32" s="81" t="s">
        <v>228</v>
      </c>
      <c r="B32" s="70">
        <v>87299</v>
      </c>
      <c r="C32" s="70">
        <v>48007</v>
      </c>
      <c r="D32" s="16">
        <v>0.19</v>
      </c>
      <c r="E32" s="70">
        <v>53028</v>
      </c>
      <c r="F32" s="16">
        <v>0.15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EF5E-3BB2-4079-B1CB-D997594AC889}">
  <dimension ref="C3:O42"/>
  <sheetViews>
    <sheetView workbookViewId="0">
      <selection activeCell="M55" sqref="M55"/>
    </sheetView>
  </sheetViews>
  <sheetFormatPr defaultRowHeight="15" x14ac:dyDescent="0.25"/>
  <cols>
    <col min="3" max="3" width="61" customWidth="1"/>
    <col min="4" max="4" width="16.140625" customWidth="1"/>
    <col min="5" max="5" width="11.7109375" bestFit="1" customWidth="1"/>
    <col min="13" max="13" width="58.42578125" customWidth="1"/>
    <col min="14" max="14" width="55.85546875" customWidth="1"/>
    <col min="15" max="15" width="54.85546875" customWidth="1"/>
  </cols>
  <sheetData>
    <row r="3" spans="3:15" ht="60" x14ac:dyDescent="0.25">
      <c r="C3" s="98" t="s">
        <v>98</v>
      </c>
      <c r="D3" s="106" t="s">
        <v>162</v>
      </c>
    </row>
    <row r="4" spans="3:15" x14ac:dyDescent="0.25">
      <c r="C4" s="99" t="s">
        <v>4</v>
      </c>
      <c r="D4" s="105" t="s">
        <v>139</v>
      </c>
      <c r="E4" s="34">
        <v>1989.77</v>
      </c>
    </row>
    <row r="5" spans="3:15" x14ac:dyDescent="0.25">
      <c r="C5" s="99" t="s">
        <v>5</v>
      </c>
      <c r="D5" s="105" t="s">
        <v>141</v>
      </c>
      <c r="E5" s="34">
        <v>3522.2</v>
      </c>
    </row>
    <row r="6" spans="3:15" ht="30" x14ac:dyDescent="0.25">
      <c r="C6" s="99" t="s">
        <v>6</v>
      </c>
      <c r="D6" s="105" t="s">
        <v>163</v>
      </c>
    </row>
    <row r="7" spans="3:15" x14ac:dyDescent="0.25">
      <c r="C7" s="99" t="s">
        <v>7</v>
      </c>
      <c r="D7" s="105" t="s">
        <v>164</v>
      </c>
    </row>
    <row r="8" spans="3:15" x14ac:dyDescent="0.25">
      <c r="C8" s="99" t="s">
        <v>8</v>
      </c>
      <c r="D8" s="107">
        <v>0.12</v>
      </c>
    </row>
    <row r="9" spans="3:15" x14ac:dyDescent="0.25">
      <c r="C9" s="99" t="s">
        <v>9</v>
      </c>
      <c r="D9" s="105" t="s">
        <v>102</v>
      </c>
      <c r="M9" s="101"/>
      <c r="N9" s="101"/>
      <c r="O9" s="101"/>
    </row>
    <row r="10" spans="3:15" x14ac:dyDescent="0.25">
      <c r="C10" s="99" t="s">
        <v>10</v>
      </c>
      <c r="D10" s="105">
        <v>0.9</v>
      </c>
      <c r="M10" s="102" t="s">
        <v>98</v>
      </c>
      <c r="N10" s="102" t="s">
        <v>138</v>
      </c>
      <c r="O10" s="102" t="s">
        <v>99</v>
      </c>
    </row>
    <row r="11" spans="3:15" x14ac:dyDescent="0.25">
      <c r="C11" s="99" t="s">
        <v>165</v>
      </c>
      <c r="D11" s="107">
        <v>0.12</v>
      </c>
      <c r="M11" s="103" t="s">
        <v>100</v>
      </c>
      <c r="N11" s="103" t="s">
        <v>139</v>
      </c>
      <c r="O11" s="103" t="s">
        <v>140</v>
      </c>
    </row>
    <row r="12" spans="3:15" x14ac:dyDescent="0.25">
      <c r="C12" s="99" t="s">
        <v>12</v>
      </c>
      <c r="D12" s="105" t="s">
        <v>154</v>
      </c>
      <c r="M12" s="103" t="s">
        <v>101</v>
      </c>
      <c r="N12" s="103" t="s">
        <v>141</v>
      </c>
      <c r="O12" s="103" t="s">
        <v>142</v>
      </c>
    </row>
    <row r="13" spans="3:15" x14ac:dyDescent="0.25">
      <c r="M13" s="103" t="s">
        <v>6</v>
      </c>
      <c r="N13" s="103" t="s">
        <v>143</v>
      </c>
      <c r="O13" s="103" t="s">
        <v>144</v>
      </c>
    </row>
    <row r="14" spans="3:15" x14ac:dyDescent="0.25">
      <c r="C14" t="s">
        <v>11</v>
      </c>
      <c r="D14" s="16">
        <v>0.14000000000000001</v>
      </c>
      <c r="M14" s="103" t="s">
        <v>7</v>
      </c>
      <c r="N14" s="103" t="s">
        <v>145</v>
      </c>
      <c r="O14" s="103" t="s">
        <v>146</v>
      </c>
    </row>
    <row r="15" spans="3:15" ht="120" x14ac:dyDescent="0.25">
      <c r="M15" s="103" t="s">
        <v>8</v>
      </c>
      <c r="N15" s="103" t="s">
        <v>147</v>
      </c>
      <c r="O15" s="103" t="s">
        <v>148</v>
      </c>
    </row>
    <row r="16" spans="3:15" ht="90" x14ac:dyDescent="0.25">
      <c r="C16" t="s">
        <v>12</v>
      </c>
      <c r="D16">
        <v>87</v>
      </c>
      <c r="M16" s="103" t="s">
        <v>9</v>
      </c>
      <c r="N16" s="103" t="s">
        <v>102</v>
      </c>
      <c r="O16" s="103" t="s">
        <v>149</v>
      </c>
    </row>
    <row r="17" spans="3:15" x14ac:dyDescent="0.25">
      <c r="M17" s="103" t="s">
        <v>10</v>
      </c>
      <c r="N17" s="103" t="s">
        <v>150</v>
      </c>
      <c r="O17" s="103" t="s">
        <v>151</v>
      </c>
    </row>
    <row r="18" spans="3:15" x14ac:dyDescent="0.25">
      <c r="M18" s="103" t="s">
        <v>103</v>
      </c>
      <c r="N18" s="104">
        <v>0.12</v>
      </c>
      <c r="O18" s="103" t="s">
        <v>152</v>
      </c>
    </row>
    <row r="19" spans="3:15" x14ac:dyDescent="0.25">
      <c r="M19" s="103" t="s">
        <v>153</v>
      </c>
      <c r="N19" s="103" t="s">
        <v>154</v>
      </c>
      <c r="O19" s="103" t="s">
        <v>155</v>
      </c>
    </row>
    <row r="20" spans="3:15" x14ac:dyDescent="0.25">
      <c r="M20" s="103" t="s">
        <v>46</v>
      </c>
      <c r="N20" s="103" t="s">
        <v>156</v>
      </c>
      <c r="O20" s="103" t="s">
        <v>157</v>
      </c>
    </row>
    <row r="21" spans="3:15" ht="30" x14ac:dyDescent="0.25">
      <c r="M21" s="103" t="s">
        <v>104</v>
      </c>
      <c r="N21" s="103" t="s">
        <v>158</v>
      </c>
      <c r="O21" s="103" t="s">
        <v>159</v>
      </c>
    </row>
    <row r="22" spans="3:15" x14ac:dyDescent="0.25">
      <c r="C22" t="s">
        <v>45</v>
      </c>
      <c r="M22" s="103" t="s">
        <v>105</v>
      </c>
      <c r="N22" s="103" t="s">
        <v>160</v>
      </c>
      <c r="O22" s="103" t="s">
        <v>106</v>
      </c>
    </row>
    <row r="23" spans="3:15" x14ac:dyDescent="0.25">
      <c r="C23" t="s">
        <v>46</v>
      </c>
      <c r="D23" t="s">
        <v>166</v>
      </c>
      <c r="M23" s="103" t="s">
        <v>107</v>
      </c>
      <c r="N23" s="103" t="s">
        <v>108</v>
      </c>
      <c r="O23" s="103" t="s">
        <v>161</v>
      </c>
    </row>
    <row r="24" spans="3:15" x14ac:dyDescent="0.25">
      <c r="C24" t="s">
        <v>47</v>
      </c>
      <c r="D24">
        <v>1</v>
      </c>
      <c r="E24" t="s">
        <v>48</v>
      </c>
      <c r="F24">
        <v>87</v>
      </c>
      <c r="G24" t="s">
        <v>167</v>
      </c>
    </row>
    <row r="25" spans="3:15" x14ac:dyDescent="0.25">
      <c r="C25" t="s">
        <v>49</v>
      </c>
      <c r="D25">
        <v>0.14000000000000001</v>
      </c>
      <c r="E25" t="s">
        <v>50</v>
      </c>
    </row>
    <row r="27" spans="3:15" ht="60" x14ac:dyDescent="0.25">
      <c r="C27" s="98" t="s">
        <v>168</v>
      </c>
      <c r="D27" s="98" t="s">
        <v>14</v>
      </c>
      <c r="E27" s="106" t="s">
        <v>169</v>
      </c>
      <c r="F27" s="106" t="s">
        <v>170</v>
      </c>
      <c r="G27" s="106" t="s">
        <v>51</v>
      </c>
    </row>
    <row r="28" spans="3:15" x14ac:dyDescent="0.25">
      <c r="C28" s="99" t="s">
        <v>52</v>
      </c>
      <c r="D28" s="99" t="s">
        <v>53</v>
      </c>
      <c r="E28" s="108">
        <v>1200</v>
      </c>
      <c r="F28" s="108">
        <v>1000</v>
      </c>
      <c r="G28" s="105">
        <v>0.83</v>
      </c>
    </row>
    <row r="29" spans="3:15" x14ac:dyDescent="0.25">
      <c r="C29" s="99" t="s">
        <v>54</v>
      </c>
      <c r="D29" s="99" t="s">
        <v>53</v>
      </c>
      <c r="E29" s="108">
        <v>1800</v>
      </c>
      <c r="F29" s="108">
        <v>1800</v>
      </c>
      <c r="G29" s="105">
        <v>1</v>
      </c>
    </row>
    <row r="36" spans="3:4" x14ac:dyDescent="0.25">
      <c r="C36" s="98" t="s">
        <v>171</v>
      </c>
      <c r="D36" s="98" t="s">
        <v>172</v>
      </c>
    </row>
    <row r="37" spans="3:4" ht="30" x14ac:dyDescent="0.25">
      <c r="C37" s="99" t="s">
        <v>173</v>
      </c>
      <c r="D37" s="99" t="s">
        <v>174</v>
      </c>
    </row>
    <row r="38" spans="3:4" ht="45" x14ac:dyDescent="0.25">
      <c r="C38" s="99" t="s">
        <v>175</v>
      </c>
      <c r="D38" s="99" t="s">
        <v>176</v>
      </c>
    </row>
    <row r="39" spans="3:4" ht="30" x14ac:dyDescent="0.25">
      <c r="C39" s="99" t="s">
        <v>51</v>
      </c>
      <c r="D39" s="99" t="s">
        <v>10</v>
      </c>
    </row>
    <row r="42" spans="3:4" ht="375" x14ac:dyDescent="0.25">
      <c r="C42" s="81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1066-F0B3-484A-9419-4CC7CD782429}">
  <dimension ref="A1:V64"/>
  <sheetViews>
    <sheetView workbookViewId="0">
      <selection activeCell="B1" sqref="B1:P1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5"/>
      <c r="B1" s="113" t="s">
        <v>13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21" x14ac:dyDescent="0.25">
      <c r="A2" s="35"/>
      <c r="B2" s="36"/>
      <c r="C2" s="37" t="s">
        <v>14</v>
      </c>
      <c r="D2" s="38" t="s">
        <v>15</v>
      </c>
      <c r="E2" s="38" t="s">
        <v>16</v>
      </c>
      <c r="F2" s="38" t="s">
        <v>17</v>
      </c>
      <c r="G2" s="114" t="s">
        <v>18</v>
      </c>
      <c r="H2" s="115"/>
      <c r="I2" s="115"/>
      <c r="J2" s="115"/>
      <c r="K2" s="115"/>
      <c r="L2" s="115"/>
      <c r="M2" s="115"/>
      <c r="N2" s="115"/>
      <c r="O2" s="115"/>
      <c r="P2" s="115"/>
    </row>
    <row r="3" spans="1:21" x14ac:dyDescent="0.25">
      <c r="A3" s="35"/>
      <c r="B3" s="37" t="s">
        <v>19</v>
      </c>
      <c r="C3" s="36"/>
      <c r="D3" s="39"/>
      <c r="E3" s="39"/>
      <c r="F3" s="39"/>
      <c r="G3" s="39">
        <v>1</v>
      </c>
      <c r="H3" s="39">
        <f t="shared" ref="H3:P3" si="0">G3+1</f>
        <v>2</v>
      </c>
      <c r="I3" s="39">
        <f t="shared" si="0"/>
        <v>3</v>
      </c>
      <c r="J3" s="39">
        <f t="shared" si="0"/>
        <v>4</v>
      </c>
      <c r="K3" s="39">
        <f t="shared" si="0"/>
        <v>5</v>
      </c>
      <c r="L3" s="39">
        <f t="shared" si="0"/>
        <v>6</v>
      </c>
      <c r="M3" s="39">
        <f t="shared" si="0"/>
        <v>7</v>
      </c>
      <c r="N3" s="39">
        <f t="shared" si="0"/>
        <v>8</v>
      </c>
      <c r="O3" s="39">
        <f t="shared" si="0"/>
        <v>9</v>
      </c>
      <c r="P3" s="39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5"/>
      <c r="B4" s="60" t="s">
        <v>182</v>
      </c>
      <c r="C4" s="36" t="s">
        <v>183</v>
      </c>
      <c r="D4" s="39">
        <v>100000</v>
      </c>
      <c r="E4" s="39">
        <v>2.6</v>
      </c>
      <c r="F4" s="39">
        <f>D4*E4</f>
        <v>260000</v>
      </c>
      <c r="G4" s="39">
        <f>F4*0.5</f>
        <v>130000</v>
      </c>
      <c r="H4" s="39">
        <f>F4</f>
        <v>260000</v>
      </c>
      <c r="I4" s="39">
        <f>F4</f>
        <v>260000</v>
      </c>
      <c r="J4" s="39">
        <f>F4</f>
        <v>260000</v>
      </c>
      <c r="K4" s="39">
        <f t="shared" ref="K4:U4" si="1">J4</f>
        <v>260000</v>
      </c>
      <c r="L4" s="39">
        <f t="shared" si="1"/>
        <v>260000</v>
      </c>
      <c r="M4" s="39">
        <f t="shared" si="1"/>
        <v>260000</v>
      </c>
      <c r="N4" s="39">
        <f t="shared" si="1"/>
        <v>260000</v>
      </c>
      <c r="O4" s="39">
        <f t="shared" si="1"/>
        <v>260000</v>
      </c>
      <c r="P4" s="39">
        <f t="shared" si="1"/>
        <v>260000</v>
      </c>
      <c r="Q4" s="39">
        <f t="shared" si="1"/>
        <v>260000</v>
      </c>
      <c r="R4" s="39">
        <f t="shared" si="1"/>
        <v>260000</v>
      </c>
      <c r="S4" s="39">
        <f t="shared" si="1"/>
        <v>260000</v>
      </c>
      <c r="T4" s="39">
        <f t="shared" si="1"/>
        <v>260000</v>
      </c>
      <c r="U4" s="39">
        <f t="shared" si="1"/>
        <v>260000</v>
      </c>
    </row>
    <row r="5" spans="1:21" x14ac:dyDescent="0.25">
      <c r="A5" s="35"/>
      <c r="B5" s="61"/>
      <c r="C5" s="36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6" spans="1:21" x14ac:dyDescent="0.25">
      <c r="A6" s="35"/>
      <c r="B6" s="37" t="s">
        <v>21</v>
      </c>
      <c r="C6" s="36"/>
      <c r="D6" s="39"/>
      <c r="E6" s="39"/>
      <c r="F6" s="38">
        <f t="shared" ref="F6:U6" si="2">SUM(F4:F5)</f>
        <v>260000</v>
      </c>
      <c r="G6" s="38">
        <f t="shared" si="2"/>
        <v>130000</v>
      </c>
      <c r="H6" s="38">
        <f t="shared" si="2"/>
        <v>260000</v>
      </c>
      <c r="I6" s="38">
        <f t="shared" si="2"/>
        <v>260000</v>
      </c>
      <c r="J6" s="38">
        <f t="shared" si="2"/>
        <v>260000</v>
      </c>
      <c r="K6" s="38">
        <f t="shared" si="2"/>
        <v>260000</v>
      </c>
      <c r="L6" s="38">
        <f t="shared" si="2"/>
        <v>260000</v>
      </c>
      <c r="M6" s="38">
        <f t="shared" si="2"/>
        <v>260000</v>
      </c>
      <c r="N6" s="38">
        <f t="shared" si="2"/>
        <v>260000</v>
      </c>
      <c r="O6" s="38">
        <f t="shared" si="2"/>
        <v>260000</v>
      </c>
      <c r="P6" s="38">
        <f t="shared" si="2"/>
        <v>260000</v>
      </c>
      <c r="Q6" s="38">
        <f t="shared" si="2"/>
        <v>260000</v>
      </c>
      <c r="R6" s="38">
        <f t="shared" si="2"/>
        <v>260000</v>
      </c>
      <c r="S6" s="38">
        <f t="shared" si="2"/>
        <v>260000</v>
      </c>
      <c r="T6" s="38">
        <f t="shared" si="2"/>
        <v>260000</v>
      </c>
      <c r="U6" s="38">
        <f t="shared" si="2"/>
        <v>260000</v>
      </c>
    </row>
    <row r="7" spans="1:21" x14ac:dyDescent="0.25">
      <c r="A7" s="35"/>
      <c r="B7" s="36"/>
      <c r="C7" s="36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21" x14ac:dyDescent="0.25">
      <c r="A8" s="35"/>
      <c r="B8" s="42" t="s">
        <v>110</v>
      </c>
      <c r="C8" s="36"/>
      <c r="D8" s="39"/>
      <c r="E8" s="39"/>
      <c r="F8" s="39">
        <f>E8*D8</f>
        <v>0</v>
      </c>
      <c r="G8" s="39">
        <f>F8</f>
        <v>0</v>
      </c>
      <c r="H8" s="39">
        <f>G8</f>
        <v>0</v>
      </c>
      <c r="I8" s="39"/>
      <c r="J8" s="39"/>
      <c r="K8" s="39"/>
      <c r="L8" s="39"/>
      <c r="M8" s="39"/>
      <c r="N8" s="39"/>
      <c r="O8" s="39"/>
      <c r="P8" s="39"/>
    </row>
    <row r="9" spans="1:21" x14ac:dyDescent="0.25">
      <c r="A9" s="35"/>
      <c r="B9" s="37" t="s">
        <v>186</v>
      </c>
      <c r="C9" s="36" t="s">
        <v>44</v>
      </c>
      <c r="D9" s="39">
        <v>10</v>
      </c>
      <c r="E9" s="70">
        <v>20000</v>
      </c>
      <c r="F9" s="43">
        <f>E9*D9</f>
        <v>200000</v>
      </c>
      <c r="G9" s="39">
        <f>F9</f>
        <v>200000</v>
      </c>
      <c r="H9" s="39">
        <f>G9</f>
        <v>200000</v>
      </c>
      <c r="I9" s="39"/>
      <c r="J9" s="39"/>
      <c r="K9" s="39"/>
      <c r="L9" s="39"/>
      <c r="M9" s="39"/>
      <c r="N9" s="39"/>
      <c r="O9" s="39"/>
      <c r="P9" s="39"/>
    </row>
    <row r="10" spans="1:21" x14ac:dyDescent="0.25">
      <c r="A10" s="35"/>
      <c r="B10" s="62" t="s">
        <v>184</v>
      </c>
      <c r="C10" s="36" t="s">
        <v>25</v>
      </c>
      <c r="D10" s="39">
        <v>10</v>
      </c>
      <c r="E10" s="39">
        <v>90000</v>
      </c>
      <c r="F10" s="39">
        <f>E10*D10</f>
        <v>900000</v>
      </c>
      <c r="G10" s="39">
        <f>F10</f>
        <v>900000</v>
      </c>
      <c r="H10" s="39">
        <f>G10</f>
        <v>900000</v>
      </c>
      <c r="I10" s="39">
        <v>0</v>
      </c>
      <c r="J10" s="39">
        <v>0</v>
      </c>
      <c r="K10" s="39"/>
      <c r="L10" s="39">
        <f>G10</f>
        <v>900000</v>
      </c>
      <c r="M10" s="39"/>
      <c r="N10" s="39"/>
      <c r="O10" s="39">
        <f>L10</f>
        <v>900000</v>
      </c>
      <c r="P10" s="39">
        <f>K10</f>
        <v>0</v>
      </c>
      <c r="T10" s="47">
        <f>O10</f>
        <v>900000</v>
      </c>
      <c r="U10" s="47"/>
    </row>
    <row r="11" spans="1:21" x14ac:dyDescent="0.25">
      <c r="A11" s="35"/>
      <c r="B11" s="62" t="s">
        <v>185</v>
      </c>
      <c r="C11" s="36" t="s">
        <v>25</v>
      </c>
      <c r="D11" s="39">
        <v>1</v>
      </c>
      <c r="E11" s="39">
        <v>50000</v>
      </c>
      <c r="F11" s="39">
        <f t="shared" ref="F11:F14" si="3">D11*E11</f>
        <v>50000</v>
      </c>
      <c r="G11" s="39">
        <f>D11*E11</f>
        <v>50000</v>
      </c>
      <c r="H11" s="39">
        <f>G11</f>
        <v>50000</v>
      </c>
      <c r="I11" s="39">
        <v>0</v>
      </c>
      <c r="J11" s="39">
        <v>0</v>
      </c>
      <c r="K11" s="39">
        <v>0</v>
      </c>
      <c r="L11" s="39"/>
      <c r="M11" s="39"/>
      <c r="N11" s="39"/>
      <c r="O11" s="39"/>
      <c r="P11" s="39"/>
    </row>
    <row r="12" spans="1:21" x14ac:dyDescent="0.25">
      <c r="A12" s="35"/>
      <c r="B12" s="37" t="s">
        <v>26</v>
      </c>
      <c r="C12" s="36"/>
      <c r="D12" s="39"/>
      <c r="E12" s="39"/>
      <c r="F12" s="38">
        <f t="shared" ref="F12:K12" si="4">SUM(F10:F11)</f>
        <v>950000</v>
      </c>
      <c r="G12" s="38">
        <f t="shared" si="4"/>
        <v>950000</v>
      </c>
      <c r="H12" s="38">
        <f t="shared" si="4"/>
        <v>950000</v>
      </c>
      <c r="I12" s="38">
        <f t="shared" si="4"/>
        <v>0</v>
      </c>
      <c r="J12" s="38">
        <f t="shared" si="4"/>
        <v>0</v>
      </c>
      <c r="K12" s="38">
        <f t="shared" si="4"/>
        <v>0</v>
      </c>
      <c r="L12" s="38"/>
      <c r="M12" s="38">
        <f t="shared" ref="M12:U12" si="5">SUM(M10:M11)</f>
        <v>0</v>
      </c>
      <c r="N12" s="38">
        <f t="shared" si="5"/>
        <v>0</v>
      </c>
      <c r="O12" s="38"/>
      <c r="P12" s="38">
        <f t="shared" si="5"/>
        <v>0</v>
      </c>
      <c r="Q12" s="38"/>
      <c r="R12" s="38">
        <f t="shared" si="5"/>
        <v>0</v>
      </c>
      <c r="S12" s="38">
        <f t="shared" si="5"/>
        <v>0</v>
      </c>
      <c r="T12" s="38">
        <f t="shared" si="5"/>
        <v>900000</v>
      </c>
      <c r="U12" s="38">
        <f t="shared" si="5"/>
        <v>0</v>
      </c>
    </row>
    <row r="13" spans="1:21" x14ac:dyDescent="0.25">
      <c r="A13" s="35"/>
      <c r="B13" s="36"/>
      <c r="C13" s="36"/>
      <c r="D13" s="39"/>
      <c r="E13" s="39"/>
      <c r="F13" s="39">
        <f t="shared" si="3"/>
        <v>0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21" x14ac:dyDescent="0.25">
      <c r="A14" s="35"/>
      <c r="B14" s="37" t="s">
        <v>206</v>
      </c>
      <c r="C14" s="36"/>
      <c r="D14" s="39"/>
      <c r="E14" s="39"/>
      <c r="F14" s="39">
        <f t="shared" si="3"/>
        <v>0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21" x14ac:dyDescent="0.25">
      <c r="B15" s="98" t="s">
        <v>205</v>
      </c>
      <c r="C15" s="36" t="s">
        <v>166</v>
      </c>
      <c r="D15" s="39"/>
      <c r="E15" s="39">
        <f>F12*0.1</f>
        <v>95000</v>
      </c>
      <c r="F15" s="39">
        <f>E15</f>
        <v>95000</v>
      </c>
      <c r="G15" s="39">
        <f>F15</f>
        <v>95000</v>
      </c>
      <c r="H15" s="39">
        <f>F15</f>
        <v>95000</v>
      </c>
      <c r="I15" s="39">
        <f t="shared" ref="I15:U15" si="6">H15</f>
        <v>95000</v>
      </c>
      <c r="J15" s="39">
        <f t="shared" si="6"/>
        <v>95000</v>
      </c>
      <c r="K15" s="39">
        <f t="shared" si="6"/>
        <v>95000</v>
      </c>
      <c r="L15" s="39">
        <f t="shared" si="6"/>
        <v>95000</v>
      </c>
      <c r="M15" s="39">
        <f t="shared" si="6"/>
        <v>95000</v>
      </c>
      <c r="N15" s="39">
        <f t="shared" si="6"/>
        <v>95000</v>
      </c>
      <c r="O15" s="39">
        <f t="shared" si="6"/>
        <v>95000</v>
      </c>
      <c r="P15" s="39">
        <f t="shared" si="6"/>
        <v>95000</v>
      </c>
      <c r="Q15" s="39">
        <f t="shared" si="6"/>
        <v>95000</v>
      </c>
      <c r="R15" s="39">
        <f t="shared" si="6"/>
        <v>95000</v>
      </c>
      <c r="S15" s="39">
        <f t="shared" si="6"/>
        <v>95000</v>
      </c>
      <c r="T15" s="39">
        <f t="shared" si="6"/>
        <v>95000</v>
      </c>
      <c r="U15" s="39">
        <f t="shared" si="6"/>
        <v>95000</v>
      </c>
    </row>
    <row r="16" spans="1:21" x14ac:dyDescent="0.25">
      <c r="A16" s="35"/>
      <c r="B16" s="37" t="s">
        <v>28</v>
      </c>
      <c r="C16" s="36"/>
      <c r="D16" s="39"/>
      <c r="E16" s="39"/>
      <c r="F16" s="38">
        <f>F15</f>
        <v>95000</v>
      </c>
      <c r="G16" s="38">
        <f>SUM(G15:G15)</f>
        <v>95000</v>
      </c>
      <c r="H16" s="38">
        <f>SUM(H15:H15)</f>
        <v>95000</v>
      </c>
      <c r="I16" s="38">
        <f>SUM(I15:I15)</f>
        <v>95000</v>
      </c>
      <c r="J16" s="38">
        <f>SUM(J15:J15)</f>
        <v>95000</v>
      </c>
      <c r="K16" s="38">
        <f>SUM(K15:K15)</f>
        <v>95000</v>
      </c>
      <c r="L16" s="38">
        <f>SUM(L15:L15)</f>
        <v>95000</v>
      </c>
      <c r="M16" s="38">
        <f>SUM(M15:M15)</f>
        <v>95000</v>
      </c>
      <c r="N16" s="38">
        <f>SUM(N15:N15)</f>
        <v>95000</v>
      </c>
      <c r="O16" s="38">
        <f>SUM(O15:O15)</f>
        <v>95000</v>
      </c>
      <c r="P16" s="38">
        <f>SUM(P15:P15)</f>
        <v>95000</v>
      </c>
      <c r="Q16" s="38">
        <f>SUM(Q15:Q15)</f>
        <v>95000</v>
      </c>
      <c r="R16" s="38">
        <f>SUM(R15:R15)</f>
        <v>95000</v>
      </c>
      <c r="S16" s="38">
        <f>SUM(S15:S15)</f>
        <v>95000</v>
      </c>
      <c r="T16" s="38">
        <f>SUM(T15:T15)</f>
        <v>95000</v>
      </c>
      <c r="U16" s="38">
        <f>SUM(U15:U15)</f>
        <v>95000</v>
      </c>
    </row>
    <row r="17" spans="1:22" x14ac:dyDescent="0.25">
      <c r="A17" s="35"/>
      <c r="B17" s="46"/>
      <c r="C17" s="36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</row>
    <row r="18" spans="1:22" x14ac:dyDescent="0.25">
      <c r="A18" s="35"/>
      <c r="B18" s="37" t="s">
        <v>29</v>
      </c>
      <c r="C18" s="36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22" x14ac:dyDescent="0.25">
      <c r="A19" s="35"/>
      <c r="B19" s="36" t="s">
        <v>30</v>
      </c>
      <c r="C19" s="36" t="s">
        <v>207</v>
      </c>
      <c r="D19" s="39">
        <v>1</v>
      </c>
      <c r="E19" s="39">
        <f>E11/12</f>
        <v>4166.666666666667</v>
      </c>
      <c r="F19" s="39">
        <f>D19*E19</f>
        <v>4166.666666666667</v>
      </c>
      <c r="G19" s="39">
        <f>F19</f>
        <v>4166.666666666667</v>
      </c>
      <c r="H19" s="39">
        <f>D19*E19</f>
        <v>4166.666666666667</v>
      </c>
      <c r="I19" s="39">
        <f t="shared" ref="I19:U19" si="7">H19</f>
        <v>4166.666666666667</v>
      </c>
      <c r="J19" s="39">
        <f t="shared" si="7"/>
        <v>4166.666666666667</v>
      </c>
      <c r="K19" s="39">
        <f t="shared" si="7"/>
        <v>4166.666666666667</v>
      </c>
      <c r="L19" s="39">
        <f t="shared" si="7"/>
        <v>4166.666666666667</v>
      </c>
      <c r="M19" s="39">
        <f t="shared" si="7"/>
        <v>4166.666666666667</v>
      </c>
      <c r="N19" s="39">
        <f t="shared" si="7"/>
        <v>4166.666666666667</v>
      </c>
      <c r="O19" s="39">
        <f t="shared" si="7"/>
        <v>4166.666666666667</v>
      </c>
      <c r="P19" s="39">
        <f t="shared" si="7"/>
        <v>4166.666666666667</v>
      </c>
      <c r="Q19" s="39">
        <f t="shared" si="7"/>
        <v>4166.666666666667</v>
      </c>
      <c r="R19" s="39">
        <f t="shared" si="7"/>
        <v>4166.666666666667</v>
      </c>
      <c r="S19" s="39">
        <f t="shared" si="7"/>
        <v>4166.666666666667</v>
      </c>
      <c r="T19" s="39">
        <f t="shared" si="7"/>
        <v>4166.666666666667</v>
      </c>
      <c r="U19" s="39">
        <f t="shared" si="7"/>
        <v>4166.666666666667</v>
      </c>
      <c r="V19" s="47">
        <f>SUM(H19:U19)</f>
        <v>58333.333333333321</v>
      </c>
    </row>
    <row r="20" spans="1:22" x14ac:dyDescent="0.25">
      <c r="A20" s="35"/>
      <c r="B20" s="37" t="s">
        <v>31</v>
      </c>
      <c r="C20" s="36"/>
      <c r="D20" s="39"/>
      <c r="E20" s="39"/>
      <c r="F20" s="38">
        <f t="shared" ref="F20:U20" si="8">SUM(F19:F19)</f>
        <v>4166.666666666667</v>
      </c>
      <c r="G20" s="38">
        <f t="shared" si="8"/>
        <v>4166.666666666667</v>
      </c>
      <c r="H20" s="38">
        <f t="shared" si="8"/>
        <v>4166.666666666667</v>
      </c>
      <c r="I20" s="38">
        <f t="shared" si="8"/>
        <v>4166.666666666667</v>
      </c>
      <c r="J20" s="38">
        <f t="shared" si="8"/>
        <v>4166.666666666667</v>
      </c>
      <c r="K20" s="38">
        <f t="shared" si="8"/>
        <v>4166.666666666667</v>
      </c>
      <c r="L20" s="38">
        <f t="shared" si="8"/>
        <v>4166.666666666667</v>
      </c>
      <c r="M20" s="38">
        <f t="shared" si="8"/>
        <v>4166.666666666667</v>
      </c>
      <c r="N20" s="38">
        <f t="shared" si="8"/>
        <v>4166.666666666667</v>
      </c>
      <c r="O20" s="38">
        <f t="shared" si="8"/>
        <v>4166.666666666667</v>
      </c>
      <c r="P20" s="38">
        <f t="shared" si="8"/>
        <v>4166.666666666667</v>
      </c>
      <c r="Q20" s="38">
        <f t="shared" si="8"/>
        <v>4166.666666666667</v>
      </c>
      <c r="R20" s="38">
        <f t="shared" si="8"/>
        <v>4166.666666666667</v>
      </c>
      <c r="S20" s="38">
        <f t="shared" si="8"/>
        <v>4166.666666666667</v>
      </c>
      <c r="T20" s="38">
        <f t="shared" si="8"/>
        <v>4166.666666666667</v>
      </c>
      <c r="U20" s="38">
        <f t="shared" si="8"/>
        <v>4166.666666666667</v>
      </c>
    </row>
    <row r="21" spans="1:22" x14ac:dyDescent="0.25">
      <c r="A21" s="35"/>
      <c r="B21" s="37" t="s">
        <v>32</v>
      </c>
      <c r="C21" s="36"/>
      <c r="D21" s="39"/>
      <c r="E21" s="39"/>
      <c r="F21" s="38">
        <f>F12+F16+F20</f>
        <v>1049166.6666666667</v>
      </c>
      <c r="G21" s="38">
        <f>G12+G16+G20</f>
        <v>1049166.6666666667</v>
      </c>
      <c r="H21" s="38">
        <f>H12+H16+H20</f>
        <v>1049166.6666666667</v>
      </c>
      <c r="I21" s="38">
        <f>I12+I16+I20</f>
        <v>99166.666666666672</v>
      </c>
      <c r="J21" s="38">
        <f>J12+J16+J20</f>
        <v>99166.666666666672</v>
      </c>
      <c r="K21" s="38">
        <f>K12+K16+K20</f>
        <v>99166.666666666672</v>
      </c>
      <c r="L21" s="38">
        <f>L12+L16+L20</f>
        <v>99166.666666666672</v>
      </c>
      <c r="M21" s="38">
        <f>M12+M16+M20</f>
        <v>99166.666666666672</v>
      </c>
      <c r="N21" s="38">
        <f>N12+N16+N20</f>
        <v>99166.666666666672</v>
      </c>
      <c r="O21" s="38">
        <f>O12+O16+O20</f>
        <v>99166.666666666672</v>
      </c>
      <c r="P21" s="38">
        <f>P12+P16+P20</f>
        <v>99166.666666666672</v>
      </c>
      <c r="Q21" s="38">
        <f>Q12+Q16+Q20</f>
        <v>99166.666666666672</v>
      </c>
      <c r="R21" s="38">
        <f>R12+R16+R20</f>
        <v>99166.666666666672</v>
      </c>
      <c r="S21" s="38">
        <f>S12+S16+S20</f>
        <v>99166.666666666672</v>
      </c>
      <c r="T21" s="38">
        <f>T12+T16+T20</f>
        <v>999166.66666666663</v>
      </c>
      <c r="U21" s="38">
        <f>U12+U16+U20</f>
        <v>99166.666666666672</v>
      </c>
    </row>
    <row r="22" spans="1:22" x14ac:dyDescent="0.25">
      <c r="A22" s="35"/>
      <c r="B22" s="37"/>
      <c r="C22" s="36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22" x14ac:dyDescent="0.25">
      <c r="A23" s="35"/>
      <c r="B23" s="37" t="s">
        <v>33</v>
      </c>
      <c r="C23" s="36" t="s">
        <v>207</v>
      </c>
      <c r="D23" s="39"/>
      <c r="E23" s="39"/>
      <c r="F23" s="39"/>
      <c r="G23" s="38">
        <f>G6-G12-G16</f>
        <v>-915000</v>
      </c>
      <c r="H23" s="38">
        <f>H6-H12-H16</f>
        <v>-785000</v>
      </c>
      <c r="I23" s="38">
        <f>I6-I12-I16</f>
        <v>165000</v>
      </c>
      <c r="J23" s="38">
        <f>J6-J12-J16</f>
        <v>165000</v>
      </c>
      <c r="K23" s="38">
        <f>K6-K12-K16</f>
        <v>165000</v>
      </c>
      <c r="L23" s="38">
        <f>L6-L12-L16</f>
        <v>165000</v>
      </c>
      <c r="M23" s="38">
        <f>M6-M12-M16</f>
        <v>165000</v>
      </c>
      <c r="N23" s="38">
        <f>N6-N12-N16</f>
        <v>165000</v>
      </c>
      <c r="O23" s="38">
        <f>O6-O12-O16</f>
        <v>165000</v>
      </c>
      <c r="P23" s="38">
        <f>P6-P12-P16</f>
        <v>165000</v>
      </c>
      <c r="Q23" s="38">
        <f>Q6-Q12-Q16</f>
        <v>165000</v>
      </c>
      <c r="R23" s="38">
        <f>R6-R12-R16</f>
        <v>165000</v>
      </c>
      <c r="S23" s="38">
        <f>S6-S12-S16</f>
        <v>165000</v>
      </c>
      <c r="T23" s="38">
        <f>T6-T12-T16</f>
        <v>-735000</v>
      </c>
      <c r="U23" s="38">
        <f>U6-U12-U16</f>
        <v>165000</v>
      </c>
    </row>
    <row r="24" spans="1:22" x14ac:dyDescent="0.25">
      <c r="A24" s="35"/>
      <c r="B24" s="37" t="s">
        <v>41</v>
      </c>
      <c r="C24" s="36" t="s">
        <v>207</v>
      </c>
      <c r="D24" s="39"/>
      <c r="E24" s="39"/>
      <c r="F24" s="39"/>
      <c r="G24" s="38">
        <f>G23-G20</f>
        <v>-919166.66666666663</v>
      </c>
      <c r="H24" s="38">
        <f>-(H23-H20)</f>
        <v>789166.66666666663</v>
      </c>
      <c r="I24" s="38">
        <f>-(I23-I20)</f>
        <v>-160833.33333333334</v>
      </c>
      <c r="J24" s="38">
        <f>J23-J20</f>
        <v>160833.33333333334</v>
      </c>
      <c r="K24" s="38">
        <f>K23-K20</f>
        <v>160833.33333333334</v>
      </c>
      <c r="L24" s="38">
        <f t="shared" ref="L24:U24" si="9">L23-L20</f>
        <v>160833.33333333334</v>
      </c>
      <c r="M24" s="38">
        <f t="shared" si="9"/>
        <v>160833.33333333334</v>
      </c>
      <c r="N24" s="38">
        <f t="shared" si="9"/>
        <v>160833.33333333334</v>
      </c>
      <c r="O24" s="38">
        <f t="shared" si="9"/>
        <v>160833.33333333334</v>
      </c>
      <c r="P24" s="38">
        <f t="shared" si="9"/>
        <v>160833.33333333334</v>
      </c>
      <c r="Q24" s="38">
        <f t="shared" si="9"/>
        <v>160833.33333333334</v>
      </c>
      <c r="R24" s="38">
        <f t="shared" si="9"/>
        <v>160833.33333333334</v>
      </c>
      <c r="S24" s="38">
        <f t="shared" si="9"/>
        <v>160833.33333333334</v>
      </c>
      <c r="T24" s="38">
        <f t="shared" si="9"/>
        <v>-739166.66666666663</v>
      </c>
      <c r="U24" s="38">
        <f t="shared" si="9"/>
        <v>160833.33333333334</v>
      </c>
    </row>
    <row r="25" spans="1:22" x14ac:dyDescent="0.25">
      <c r="A25" s="1"/>
      <c r="B25" s="116" t="s">
        <v>35</v>
      </c>
      <c r="C25" s="117"/>
      <c r="D25" s="117"/>
      <c r="E25" s="117"/>
      <c r="F25" s="118"/>
      <c r="G25" s="52">
        <f>IRR(G24:U24)</f>
        <v>0.21885914986728561</v>
      </c>
      <c r="H25" s="53"/>
      <c r="I25" s="53"/>
      <c r="J25" s="53"/>
      <c r="K25" s="53"/>
      <c r="L25" s="53"/>
      <c r="M25" s="53"/>
      <c r="N25" s="53"/>
      <c r="O25" s="53"/>
      <c r="P25" s="53"/>
    </row>
    <row r="26" spans="1:22" x14ac:dyDescent="0.25">
      <c r="A26" s="1"/>
      <c r="B26" s="116" t="s">
        <v>36</v>
      </c>
      <c r="C26" s="117"/>
      <c r="D26" s="117"/>
      <c r="E26" s="117"/>
      <c r="F26" s="118"/>
      <c r="G26" s="54">
        <f>NPV(0.1,G24:U24)</f>
        <v>282105.62883740728</v>
      </c>
      <c r="H26" s="53"/>
      <c r="I26" s="53"/>
      <c r="J26" s="53"/>
      <c r="K26" s="53"/>
      <c r="L26" s="53"/>
      <c r="M26" s="53"/>
      <c r="N26" s="53"/>
      <c r="O26" s="53"/>
      <c r="P26" s="53"/>
    </row>
    <row r="27" spans="1:22" x14ac:dyDescent="0.25">
      <c r="A27" s="1"/>
      <c r="B27" s="111"/>
      <c r="C27" s="111"/>
      <c r="D27" s="111"/>
      <c r="E27" s="111"/>
      <c r="F27" s="111"/>
      <c r="G27" s="55"/>
      <c r="H27" s="56"/>
      <c r="I27" s="56"/>
      <c r="J27" s="56"/>
      <c r="K27" s="56"/>
      <c r="L27" s="56"/>
      <c r="M27" s="56"/>
      <c r="N27" s="56"/>
      <c r="O27" s="56"/>
      <c r="P27" s="56"/>
    </row>
    <row r="28" spans="1:22" x14ac:dyDescent="0.25">
      <c r="A28" s="1"/>
      <c r="B28" s="111"/>
      <c r="C28" s="112"/>
      <c r="D28" s="112"/>
      <c r="E28" s="112"/>
      <c r="F28" s="112"/>
      <c r="G28" s="57"/>
      <c r="H28" s="56"/>
      <c r="I28" s="56"/>
      <c r="J28" s="56"/>
      <c r="K28" s="56"/>
      <c r="L28" s="56"/>
      <c r="M28" s="56"/>
      <c r="N28" s="56"/>
      <c r="O28" s="56"/>
      <c r="P28" s="56"/>
    </row>
    <row r="29" spans="1:22" x14ac:dyDescent="0.25">
      <c r="A29" s="1"/>
      <c r="B29" s="111"/>
      <c r="C29" s="112"/>
      <c r="D29" s="112"/>
      <c r="E29" s="112"/>
      <c r="F29" s="112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</row>
    <row r="30" spans="1:22" x14ac:dyDescent="0.25">
      <c r="A30" s="1"/>
      <c r="B30" s="109"/>
      <c r="C30" s="110"/>
      <c r="D30" s="110"/>
      <c r="E30" s="110"/>
      <c r="F30" s="110"/>
      <c r="G30" s="52"/>
      <c r="H30" s="56"/>
      <c r="I30" s="56"/>
      <c r="J30" s="56"/>
      <c r="K30" s="56"/>
      <c r="L30" s="56"/>
      <c r="M30" s="56"/>
      <c r="N30" s="56"/>
      <c r="O30" s="56"/>
      <c r="P30" s="56"/>
    </row>
    <row r="31" spans="1:22" x14ac:dyDescent="0.25">
      <c r="A31" s="1"/>
      <c r="B31" s="109"/>
      <c r="C31" s="110"/>
      <c r="D31" s="110"/>
      <c r="E31" s="110"/>
      <c r="F31" s="110"/>
      <c r="G31" s="54"/>
      <c r="H31" s="56"/>
      <c r="I31" s="56"/>
      <c r="J31" s="56"/>
      <c r="K31" s="56"/>
      <c r="L31" s="56"/>
      <c r="M31" s="56"/>
      <c r="N31" s="56"/>
      <c r="O31" s="56"/>
      <c r="P31" s="56"/>
    </row>
    <row r="32" spans="1:22" x14ac:dyDescent="0.25">
      <c r="A32" s="1"/>
      <c r="B32" s="49"/>
      <c r="C32" s="50"/>
      <c r="D32" s="50"/>
      <c r="E32" s="50"/>
      <c r="F32" s="51"/>
      <c r="G32" s="54"/>
      <c r="H32" s="53"/>
      <c r="I32" s="53"/>
      <c r="J32" s="53"/>
      <c r="K32" s="53"/>
      <c r="L32" s="53"/>
      <c r="M32" s="53"/>
      <c r="N32" s="53"/>
      <c r="O32" s="53"/>
      <c r="P32" s="53"/>
    </row>
    <row r="33" spans="1:21" x14ac:dyDescent="0.25">
      <c r="A33" s="35"/>
      <c r="B33" s="35"/>
      <c r="C33" s="3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</row>
    <row r="34" spans="1:21" x14ac:dyDescent="0.25">
      <c r="A34" s="35"/>
      <c r="B34" s="113" t="s">
        <v>37</v>
      </c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</row>
    <row r="35" spans="1:21" x14ac:dyDescent="0.25">
      <c r="A35" s="35"/>
      <c r="B35" s="36"/>
      <c r="C35" s="37" t="s">
        <v>14</v>
      </c>
      <c r="D35" s="38" t="s">
        <v>15</v>
      </c>
      <c r="E35" s="38" t="s">
        <v>16</v>
      </c>
      <c r="F35" s="38" t="s">
        <v>17</v>
      </c>
      <c r="G35" s="114" t="s">
        <v>18</v>
      </c>
      <c r="H35" s="115"/>
      <c r="I35" s="115"/>
      <c r="J35" s="115"/>
      <c r="K35" s="115"/>
      <c r="L35" s="115"/>
      <c r="M35" s="115"/>
      <c r="N35" s="115"/>
      <c r="O35" s="115"/>
      <c r="P35" s="115"/>
    </row>
    <row r="36" spans="1:21" x14ac:dyDescent="0.25">
      <c r="A36" s="35"/>
      <c r="B36" s="37" t="s">
        <v>19</v>
      </c>
      <c r="C36" s="36"/>
      <c r="D36" s="39"/>
      <c r="E36" s="39"/>
      <c r="F36" s="39"/>
      <c r="G36" s="39">
        <v>1</v>
      </c>
      <c r="H36" s="39">
        <f t="shared" ref="H36:P36" si="10">G36+1</f>
        <v>2</v>
      </c>
      <c r="I36" s="39">
        <f t="shared" si="10"/>
        <v>3</v>
      </c>
      <c r="J36" s="39">
        <f t="shared" si="10"/>
        <v>4</v>
      </c>
      <c r="K36" s="39">
        <f t="shared" si="10"/>
        <v>5</v>
      </c>
      <c r="L36" s="39">
        <f t="shared" si="10"/>
        <v>6</v>
      </c>
      <c r="M36" s="39">
        <f t="shared" si="10"/>
        <v>7</v>
      </c>
      <c r="N36" s="39">
        <f t="shared" si="10"/>
        <v>8</v>
      </c>
      <c r="O36" s="39">
        <f t="shared" si="10"/>
        <v>9</v>
      </c>
      <c r="P36" s="39">
        <f t="shared" si="10"/>
        <v>10</v>
      </c>
      <c r="Q36">
        <v>11</v>
      </c>
      <c r="R36">
        <v>12</v>
      </c>
      <c r="S36">
        <v>13</v>
      </c>
      <c r="T36">
        <v>14</v>
      </c>
      <c r="U36">
        <v>15</v>
      </c>
    </row>
    <row r="37" spans="1:21" x14ac:dyDescent="0.25">
      <c r="A37" s="35"/>
      <c r="B37" s="36" t="s">
        <v>188</v>
      </c>
      <c r="C37" s="36" t="s">
        <v>189</v>
      </c>
      <c r="D37" s="39">
        <v>10</v>
      </c>
      <c r="E37" s="39">
        <v>8000</v>
      </c>
      <c r="F37" s="39">
        <f>E37*D37</f>
        <v>80000</v>
      </c>
      <c r="G37" s="39">
        <f>F37</f>
        <v>80000</v>
      </c>
      <c r="H37" s="39">
        <f>G37</f>
        <v>80000</v>
      </c>
      <c r="I37" s="39">
        <f>H37</f>
        <v>80000</v>
      </c>
      <c r="J37" s="39">
        <f>I37</f>
        <v>80000</v>
      </c>
      <c r="K37" s="39">
        <f>J37</f>
        <v>80000</v>
      </c>
      <c r="L37" s="39">
        <f t="shared" ref="L37:P37" si="11">K37</f>
        <v>80000</v>
      </c>
      <c r="M37" s="39">
        <f t="shared" si="11"/>
        <v>80000</v>
      </c>
      <c r="N37" s="39">
        <f t="shared" si="11"/>
        <v>80000</v>
      </c>
      <c r="O37" s="39">
        <f t="shared" si="11"/>
        <v>80000</v>
      </c>
      <c r="P37" s="39">
        <f t="shared" si="11"/>
        <v>80000</v>
      </c>
    </row>
    <row r="38" spans="1:21" ht="35.25" customHeight="1" x14ac:dyDescent="0.25">
      <c r="A38" s="35"/>
      <c r="B38" s="60" t="str">
        <f>B4</f>
        <v>Heating 'Energy saved</v>
      </c>
      <c r="C38" s="36" t="s">
        <v>187</v>
      </c>
      <c r="D38" s="39">
        <f>D4*1.1</f>
        <v>110000.00000000001</v>
      </c>
      <c r="E38" s="39">
        <f>E4</f>
        <v>2.6</v>
      </c>
      <c r="F38" s="39">
        <f>D38*E38</f>
        <v>286000.00000000006</v>
      </c>
      <c r="G38" s="39">
        <f>F38*0.5</f>
        <v>143000.00000000003</v>
      </c>
      <c r="H38" s="39">
        <f>F38</f>
        <v>286000.00000000006</v>
      </c>
      <c r="I38" s="39">
        <f>F38</f>
        <v>286000.00000000006</v>
      </c>
      <c r="J38" s="39">
        <f>F38</f>
        <v>286000.00000000006</v>
      </c>
      <c r="K38" s="39">
        <f t="shared" ref="K38:U38" si="12">J38</f>
        <v>286000.00000000006</v>
      </c>
      <c r="L38" s="39">
        <f t="shared" si="12"/>
        <v>286000.00000000006</v>
      </c>
      <c r="M38" s="39">
        <f t="shared" si="12"/>
        <v>286000.00000000006</v>
      </c>
      <c r="N38" s="39">
        <f t="shared" si="12"/>
        <v>286000.00000000006</v>
      </c>
      <c r="O38" s="39">
        <f t="shared" si="12"/>
        <v>286000.00000000006</v>
      </c>
      <c r="P38" s="39">
        <f t="shared" si="12"/>
        <v>286000.00000000006</v>
      </c>
      <c r="Q38" s="39">
        <f t="shared" si="12"/>
        <v>286000.00000000006</v>
      </c>
      <c r="R38" s="39">
        <f t="shared" si="12"/>
        <v>286000.00000000006</v>
      </c>
      <c r="S38" s="39">
        <f t="shared" si="12"/>
        <v>286000.00000000006</v>
      </c>
      <c r="T38" s="39">
        <f t="shared" si="12"/>
        <v>286000.00000000006</v>
      </c>
      <c r="U38" s="39">
        <f t="shared" si="12"/>
        <v>286000.00000000006</v>
      </c>
    </row>
    <row r="39" spans="1:21" x14ac:dyDescent="0.25">
      <c r="A39" s="35"/>
      <c r="B39" s="37" t="s">
        <v>21</v>
      </c>
      <c r="C39" s="36"/>
      <c r="D39" s="39">
        <f>D6</f>
        <v>0</v>
      </c>
      <c r="E39" s="39">
        <f>E6*0.9</f>
        <v>0</v>
      </c>
      <c r="F39" s="38">
        <f>SUM(F36:F38)</f>
        <v>366000.00000000006</v>
      </c>
      <c r="G39" s="38">
        <f t="shared" ref="G39:P39" si="13">SUM(G36:G38)</f>
        <v>223001.00000000003</v>
      </c>
      <c r="H39" s="38">
        <f t="shared" si="13"/>
        <v>366002.00000000006</v>
      </c>
      <c r="I39" s="38">
        <f t="shared" si="13"/>
        <v>366003.00000000006</v>
      </c>
      <c r="J39" s="38">
        <f t="shared" si="13"/>
        <v>366004.00000000006</v>
      </c>
      <c r="K39" s="38">
        <f t="shared" si="13"/>
        <v>366005.00000000006</v>
      </c>
      <c r="L39" s="38">
        <f t="shared" si="13"/>
        <v>366006.00000000006</v>
      </c>
      <c r="M39" s="38">
        <f t="shared" si="13"/>
        <v>366007.00000000006</v>
      </c>
      <c r="N39" s="38">
        <f t="shared" si="13"/>
        <v>366008.00000000006</v>
      </c>
      <c r="O39" s="38">
        <f t="shared" si="13"/>
        <v>366009.00000000006</v>
      </c>
      <c r="P39" s="38">
        <f t="shared" si="13"/>
        <v>366010.00000000006</v>
      </c>
      <c r="Q39" s="38">
        <f t="shared" ref="F39:U39" si="14">SUM(Q38:Q38)</f>
        <v>286000.00000000006</v>
      </c>
      <c r="R39" s="38">
        <f t="shared" si="14"/>
        <v>286000.00000000006</v>
      </c>
      <c r="S39" s="38">
        <f t="shared" si="14"/>
        <v>286000.00000000006</v>
      </c>
      <c r="T39" s="38">
        <f t="shared" si="14"/>
        <v>286000.00000000006</v>
      </c>
      <c r="U39" s="38">
        <f t="shared" si="14"/>
        <v>286000.00000000006</v>
      </c>
    </row>
    <row r="40" spans="1:21" x14ac:dyDescent="0.25">
      <c r="A40" s="35"/>
      <c r="B40" s="36"/>
      <c r="C40" s="36"/>
      <c r="D40" s="39">
        <f>D7</f>
        <v>0</v>
      </c>
      <c r="E40" s="39">
        <f>E7*0.9</f>
        <v>0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21" x14ac:dyDescent="0.25">
      <c r="A41" s="35"/>
      <c r="B41" s="42" t="s">
        <v>110</v>
      </c>
      <c r="C41" s="36"/>
      <c r="D41" s="39"/>
      <c r="E41" s="39">
        <f>E8*0.9</f>
        <v>0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21" x14ac:dyDescent="0.25">
      <c r="A42" s="35"/>
      <c r="B42" s="37" t="s">
        <v>186</v>
      </c>
      <c r="C42" s="36" t="s">
        <v>25</v>
      </c>
      <c r="D42" s="39">
        <f>D9</f>
        <v>10</v>
      </c>
      <c r="E42" s="39">
        <f>E9*0.8</f>
        <v>16000</v>
      </c>
      <c r="F42" s="43">
        <f>E42</f>
        <v>16000</v>
      </c>
      <c r="G42" s="39">
        <f>F42</f>
        <v>16000</v>
      </c>
      <c r="H42" s="39"/>
      <c r="I42" s="39"/>
      <c r="J42" s="39"/>
      <c r="K42" s="39"/>
      <c r="L42" s="39"/>
      <c r="M42" s="39"/>
      <c r="N42" s="39"/>
      <c r="O42" s="39"/>
      <c r="P42" s="39"/>
    </row>
    <row r="43" spans="1:21" x14ac:dyDescent="0.25">
      <c r="A43" s="35"/>
      <c r="B43" s="62" t="s">
        <v>111</v>
      </c>
      <c r="C43" s="36" t="s">
        <v>25</v>
      </c>
      <c r="D43" s="39">
        <f>D10</f>
        <v>10</v>
      </c>
      <c r="E43" s="39">
        <f>E10*0.8</f>
        <v>72000</v>
      </c>
      <c r="F43" s="39">
        <f>D43*E43</f>
        <v>720000</v>
      </c>
      <c r="G43" s="39">
        <f>D43*E43</f>
        <v>720000</v>
      </c>
      <c r="H43" s="39">
        <v>0</v>
      </c>
      <c r="I43" s="39">
        <v>0</v>
      </c>
      <c r="J43" s="39">
        <v>0</v>
      </c>
      <c r="K43" s="39"/>
      <c r="L43" s="39"/>
      <c r="M43" s="39"/>
      <c r="N43" s="39"/>
      <c r="O43" s="39"/>
      <c r="P43" s="39">
        <f>K43</f>
        <v>0</v>
      </c>
    </row>
    <row r="44" spans="1:21" x14ac:dyDescent="0.25">
      <c r="A44" s="35"/>
      <c r="B44" s="62" t="s">
        <v>40</v>
      </c>
      <c r="C44" s="36" t="s">
        <v>25</v>
      </c>
      <c r="D44" s="39">
        <f>D11</f>
        <v>1</v>
      </c>
      <c r="E44" s="39">
        <f>E11*0.6</f>
        <v>30000</v>
      </c>
      <c r="F44" s="39">
        <f t="shared" ref="F44" si="15">D44*E44</f>
        <v>30000</v>
      </c>
      <c r="G44" s="39">
        <f>D44*E44</f>
        <v>30000</v>
      </c>
      <c r="H44" s="39">
        <v>0</v>
      </c>
      <c r="I44" s="39">
        <v>0</v>
      </c>
      <c r="J44" s="39">
        <v>0</v>
      </c>
      <c r="K44" s="39">
        <v>0</v>
      </c>
      <c r="L44" s="39"/>
      <c r="M44" s="39"/>
      <c r="N44" s="39"/>
      <c r="O44" s="39"/>
      <c r="P44" s="39"/>
    </row>
    <row r="45" spans="1:21" x14ac:dyDescent="0.25">
      <c r="A45" s="35"/>
      <c r="B45" s="37" t="s">
        <v>26</v>
      </c>
      <c r="C45" s="36"/>
      <c r="D45" s="39">
        <f>D12</f>
        <v>0</v>
      </c>
      <c r="E45" s="39">
        <f>E12*0.9</f>
        <v>0</v>
      </c>
      <c r="F45" s="38">
        <f t="shared" ref="F45:K45" si="16">SUM(F43:F44)</f>
        <v>750000</v>
      </c>
      <c r="G45" s="38">
        <f t="shared" si="16"/>
        <v>750000</v>
      </c>
      <c r="H45" s="38">
        <f t="shared" si="16"/>
        <v>0</v>
      </c>
      <c r="I45" s="38">
        <f t="shared" si="16"/>
        <v>0</v>
      </c>
      <c r="J45" s="38">
        <f t="shared" si="16"/>
        <v>0</v>
      </c>
      <c r="K45" s="38">
        <f t="shared" si="16"/>
        <v>0</v>
      </c>
      <c r="L45" s="38">
        <f t="shared" ref="L45:U45" si="17">SUM(L43:L44)</f>
        <v>0</v>
      </c>
      <c r="M45" s="38">
        <f t="shared" si="17"/>
        <v>0</v>
      </c>
      <c r="N45" s="38">
        <f t="shared" si="17"/>
        <v>0</v>
      </c>
      <c r="O45" s="38">
        <f t="shared" si="17"/>
        <v>0</v>
      </c>
      <c r="P45" s="38">
        <f t="shared" si="17"/>
        <v>0</v>
      </c>
      <c r="Q45" s="38">
        <f t="shared" si="17"/>
        <v>0</v>
      </c>
      <c r="R45" s="38">
        <f t="shared" si="17"/>
        <v>0</v>
      </c>
      <c r="S45" s="38">
        <f t="shared" si="17"/>
        <v>0</v>
      </c>
      <c r="T45" s="38">
        <f t="shared" si="17"/>
        <v>0</v>
      </c>
      <c r="U45" s="38">
        <f t="shared" si="17"/>
        <v>0</v>
      </c>
    </row>
    <row r="46" spans="1:21" x14ac:dyDescent="0.25">
      <c r="A46" s="35"/>
      <c r="B46" s="36"/>
      <c r="C46" s="36"/>
      <c r="D46" s="39">
        <f>D13</f>
        <v>0</v>
      </c>
      <c r="E46" s="39">
        <f>E13*0.9</f>
        <v>0</v>
      </c>
      <c r="F46" s="39">
        <f t="shared" ref="F46:F47" si="18">D46*E46</f>
        <v>0</v>
      </c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21" x14ac:dyDescent="0.25">
      <c r="A47" s="35"/>
      <c r="B47" s="37" t="s">
        <v>205</v>
      </c>
      <c r="C47" s="36"/>
      <c r="D47" s="39">
        <f>D14</f>
        <v>0</v>
      </c>
      <c r="E47" s="39">
        <f>E14*0.9</f>
        <v>0</v>
      </c>
      <c r="F47" s="39">
        <f t="shared" si="18"/>
        <v>0</v>
      </c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21" x14ac:dyDescent="0.25">
      <c r="A48" s="35"/>
      <c r="B48" s="98" t="s">
        <v>205</v>
      </c>
      <c r="C48" s="36" t="s">
        <v>166</v>
      </c>
      <c r="D48" s="39">
        <f>D15</f>
        <v>0</v>
      </c>
      <c r="E48" s="39">
        <f>F45*0.1</f>
        <v>75000</v>
      </c>
      <c r="F48" s="39">
        <f>E48</f>
        <v>75000</v>
      </c>
      <c r="G48" s="39">
        <f>F48</f>
        <v>75000</v>
      </c>
      <c r="H48" s="39">
        <f>F48</f>
        <v>75000</v>
      </c>
      <c r="I48" s="39">
        <f>H48</f>
        <v>75000</v>
      </c>
      <c r="J48" s="39">
        <f>I48</f>
        <v>75000</v>
      </c>
      <c r="K48" s="39">
        <f t="shared" ref="K48:U48" si="19">J48</f>
        <v>75000</v>
      </c>
      <c r="L48" s="39">
        <f t="shared" si="19"/>
        <v>75000</v>
      </c>
      <c r="M48" s="39">
        <f t="shared" si="19"/>
        <v>75000</v>
      </c>
      <c r="N48" s="39">
        <f t="shared" si="19"/>
        <v>75000</v>
      </c>
      <c r="O48" s="39">
        <f t="shared" si="19"/>
        <v>75000</v>
      </c>
      <c r="P48" s="39">
        <f t="shared" si="19"/>
        <v>75000</v>
      </c>
      <c r="Q48" s="39">
        <f t="shared" si="19"/>
        <v>75000</v>
      </c>
      <c r="R48" s="39">
        <f t="shared" si="19"/>
        <v>75000</v>
      </c>
      <c r="S48" s="39">
        <f t="shared" si="19"/>
        <v>75000</v>
      </c>
      <c r="T48" s="39">
        <f t="shared" si="19"/>
        <v>75000</v>
      </c>
      <c r="U48" s="39">
        <f t="shared" si="19"/>
        <v>75000</v>
      </c>
    </row>
    <row r="49" spans="1:22" x14ac:dyDescent="0.25">
      <c r="A49" s="35"/>
      <c r="B49" s="37" t="s">
        <v>28</v>
      </c>
      <c r="C49" s="36"/>
      <c r="D49" s="39">
        <f>D16</f>
        <v>0</v>
      </c>
      <c r="E49" s="39"/>
      <c r="F49" s="38">
        <f>SUM(F48:F48)</f>
        <v>75000</v>
      </c>
      <c r="G49" s="38">
        <f>SUM(G48:G48)</f>
        <v>75000</v>
      </c>
      <c r="H49" s="38">
        <f>SUM(H48:H48)</f>
        <v>75000</v>
      </c>
      <c r="I49" s="38">
        <f>SUM(I48:I48)</f>
        <v>75000</v>
      </c>
      <c r="J49" s="38">
        <f>SUM(J48:J48)</f>
        <v>75000</v>
      </c>
      <c r="K49" s="38">
        <f>SUM(K48:K48)</f>
        <v>75000</v>
      </c>
      <c r="L49" s="38">
        <f>SUM(L48:L48)</f>
        <v>75000</v>
      </c>
      <c r="M49" s="38">
        <f>SUM(M48:M48)</f>
        <v>75000</v>
      </c>
      <c r="N49" s="38">
        <f>SUM(N48:N48)</f>
        <v>75000</v>
      </c>
      <c r="O49" s="38">
        <f>SUM(O48:O48)</f>
        <v>75000</v>
      </c>
      <c r="P49" s="38">
        <f>SUM(P48:P48)</f>
        <v>75000</v>
      </c>
      <c r="Q49" s="38">
        <f>SUM(Q48:Q48)</f>
        <v>75000</v>
      </c>
      <c r="R49" s="38">
        <f>SUM(R48:R48)</f>
        <v>75000</v>
      </c>
      <c r="S49" s="38">
        <f>SUM(S48:S48)</f>
        <v>75000</v>
      </c>
      <c r="T49" s="38">
        <f>SUM(T48:T48)</f>
        <v>75000</v>
      </c>
      <c r="U49" s="38">
        <f>SUM(U48:U48)</f>
        <v>75000</v>
      </c>
    </row>
    <row r="50" spans="1:22" x14ac:dyDescent="0.25">
      <c r="A50" s="35"/>
      <c r="B50" s="46"/>
      <c r="C50" s="36"/>
      <c r="D50" s="39">
        <f>D17</f>
        <v>0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22" x14ac:dyDescent="0.25">
      <c r="A51" s="35"/>
      <c r="B51" s="37" t="s">
        <v>29</v>
      </c>
      <c r="C51" s="36"/>
      <c r="D51" s="39">
        <f>D18</f>
        <v>0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22" x14ac:dyDescent="0.25">
      <c r="A52" s="35"/>
      <c r="B52" s="36" t="s">
        <v>30</v>
      </c>
      <c r="C52" s="36" t="s">
        <v>166</v>
      </c>
      <c r="D52" s="39">
        <f>D19</f>
        <v>1</v>
      </c>
      <c r="E52" s="39">
        <f>E19*0.9</f>
        <v>3750.0000000000005</v>
      </c>
      <c r="F52" s="39">
        <f>D52*E52</f>
        <v>3750.0000000000005</v>
      </c>
      <c r="G52" s="39">
        <v>0</v>
      </c>
      <c r="H52" s="39">
        <f>D52*E52</f>
        <v>3750.0000000000005</v>
      </c>
      <c r="I52" s="39">
        <f t="shared" ref="I52:U52" si="20">H52</f>
        <v>3750.0000000000005</v>
      </c>
      <c r="J52" s="39">
        <f t="shared" si="20"/>
        <v>3750.0000000000005</v>
      </c>
      <c r="K52" s="39">
        <f t="shared" si="20"/>
        <v>3750.0000000000005</v>
      </c>
      <c r="L52" s="39">
        <f t="shared" si="20"/>
        <v>3750.0000000000005</v>
      </c>
      <c r="M52" s="39">
        <f t="shared" si="20"/>
        <v>3750.0000000000005</v>
      </c>
      <c r="N52" s="39">
        <f t="shared" si="20"/>
        <v>3750.0000000000005</v>
      </c>
      <c r="O52" s="39">
        <f t="shared" si="20"/>
        <v>3750.0000000000005</v>
      </c>
      <c r="P52" s="39">
        <f t="shared" si="20"/>
        <v>3750.0000000000005</v>
      </c>
      <c r="Q52" s="39">
        <f t="shared" si="20"/>
        <v>3750.0000000000005</v>
      </c>
      <c r="R52" s="39">
        <f t="shared" si="20"/>
        <v>3750.0000000000005</v>
      </c>
      <c r="S52" s="39">
        <f t="shared" si="20"/>
        <v>3750.0000000000005</v>
      </c>
      <c r="T52" s="39">
        <f t="shared" si="20"/>
        <v>3750.0000000000005</v>
      </c>
      <c r="U52" s="39">
        <f t="shared" si="20"/>
        <v>3750.0000000000005</v>
      </c>
      <c r="V52" s="47">
        <f>SUM(H52:U52)</f>
        <v>52500.000000000007</v>
      </c>
    </row>
    <row r="53" spans="1:22" x14ac:dyDescent="0.25">
      <c r="A53" s="35"/>
      <c r="B53" s="37" t="s">
        <v>31</v>
      </c>
      <c r="C53" s="36"/>
      <c r="D53" s="39"/>
      <c r="E53" s="39"/>
      <c r="F53" s="38">
        <f t="shared" ref="F53:U53" si="21">SUM(F52:F52)</f>
        <v>3750.0000000000005</v>
      </c>
      <c r="G53" s="38">
        <f t="shared" si="21"/>
        <v>0</v>
      </c>
      <c r="H53" s="38">
        <f t="shared" si="21"/>
        <v>3750.0000000000005</v>
      </c>
      <c r="I53" s="38">
        <f t="shared" si="21"/>
        <v>3750.0000000000005</v>
      </c>
      <c r="J53" s="38">
        <f t="shared" si="21"/>
        <v>3750.0000000000005</v>
      </c>
      <c r="K53" s="38">
        <f t="shared" si="21"/>
        <v>3750.0000000000005</v>
      </c>
      <c r="L53" s="38">
        <f t="shared" si="21"/>
        <v>3750.0000000000005</v>
      </c>
      <c r="M53" s="38">
        <f t="shared" si="21"/>
        <v>3750.0000000000005</v>
      </c>
      <c r="N53" s="38">
        <f t="shared" si="21"/>
        <v>3750.0000000000005</v>
      </c>
      <c r="O53" s="38">
        <f t="shared" si="21"/>
        <v>3750.0000000000005</v>
      </c>
      <c r="P53" s="38">
        <f t="shared" si="21"/>
        <v>3750.0000000000005</v>
      </c>
      <c r="Q53" s="38">
        <f t="shared" si="21"/>
        <v>3750.0000000000005</v>
      </c>
      <c r="R53" s="38">
        <f t="shared" si="21"/>
        <v>3750.0000000000005</v>
      </c>
      <c r="S53" s="38">
        <f t="shared" si="21"/>
        <v>3750.0000000000005</v>
      </c>
      <c r="T53" s="38">
        <f t="shared" si="21"/>
        <v>3750.0000000000005</v>
      </c>
      <c r="U53" s="38">
        <f t="shared" si="21"/>
        <v>3750.0000000000005</v>
      </c>
    </row>
    <row r="54" spans="1:22" x14ac:dyDescent="0.25">
      <c r="A54" s="35"/>
      <c r="B54" s="37" t="s">
        <v>32</v>
      </c>
      <c r="C54" s="36"/>
      <c r="D54" s="39"/>
      <c r="E54" s="39"/>
      <c r="F54" s="38">
        <f>F45+F49+F53</f>
        <v>828750</v>
      </c>
      <c r="G54" s="38">
        <f>G45+G49+G53</f>
        <v>825000</v>
      </c>
      <c r="H54" s="38">
        <f>H45+H49+H53</f>
        <v>78750</v>
      </c>
      <c r="I54" s="38">
        <f>I45+I49+I53</f>
        <v>78750</v>
      </c>
      <c r="J54" s="38">
        <f>J45+J49+J53</f>
        <v>78750</v>
      </c>
      <c r="K54" s="38">
        <f>K45+K49+K53</f>
        <v>78750</v>
      </c>
      <c r="L54" s="38">
        <f>L45+L49+L53</f>
        <v>78750</v>
      </c>
      <c r="M54" s="38">
        <f>M45+M49+M53</f>
        <v>78750</v>
      </c>
      <c r="N54" s="38">
        <f>N45+N49+N53</f>
        <v>78750</v>
      </c>
      <c r="O54" s="38">
        <f>O45+O49+O53</f>
        <v>78750</v>
      </c>
      <c r="P54" s="38">
        <f>P45+P49+P53</f>
        <v>78750</v>
      </c>
      <c r="Q54" s="38">
        <f>Q45+Q49+Q53</f>
        <v>78750</v>
      </c>
      <c r="R54" s="38">
        <f>R45+R49+R53</f>
        <v>78750</v>
      </c>
      <c r="S54" s="38">
        <f>S45+S49+S53</f>
        <v>78750</v>
      </c>
      <c r="T54" s="38">
        <f>T45+T49+T53</f>
        <v>78750</v>
      </c>
      <c r="U54" s="38">
        <f>U45+U49+U53</f>
        <v>78750</v>
      </c>
    </row>
    <row r="55" spans="1:22" x14ac:dyDescent="0.25">
      <c r="A55" s="35"/>
      <c r="B55" s="37"/>
      <c r="C55" s="36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22" x14ac:dyDescent="0.25">
      <c r="A56" s="35"/>
      <c r="B56" s="37" t="s">
        <v>33</v>
      </c>
      <c r="C56" s="36" t="s">
        <v>166</v>
      </c>
      <c r="D56" s="39"/>
      <c r="E56" s="39"/>
      <c r="F56" s="39"/>
      <c r="G56" s="38">
        <f>G39-G45-G49</f>
        <v>-601999</v>
      </c>
      <c r="H56" s="38">
        <f>H39-H45-H49</f>
        <v>291002.00000000006</v>
      </c>
      <c r="I56" s="38">
        <f>I39-I45-I49</f>
        <v>291003.00000000006</v>
      </c>
      <c r="J56" s="38">
        <f>J39-J45-J49</f>
        <v>291004.00000000006</v>
      </c>
      <c r="K56" s="38">
        <f>K39-K45-K49</f>
        <v>291005.00000000006</v>
      </c>
      <c r="L56" s="38">
        <f>L39-L45-L49</f>
        <v>291006.00000000006</v>
      </c>
      <c r="M56" s="38">
        <f>M39-M45-M49</f>
        <v>291007.00000000006</v>
      </c>
      <c r="N56" s="38">
        <f>N39-N45-N49</f>
        <v>291008.00000000006</v>
      </c>
      <c r="O56" s="38">
        <f>O39-O45-O49</f>
        <v>291009.00000000006</v>
      </c>
      <c r="P56" s="38">
        <f>P39-P45-P49</f>
        <v>291010.00000000006</v>
      </c>
      <c r="Q56" s="38">
        <f>Q39-Q45-Q49</f>
        <v>211000.00000000006</v>
      </c>
      <c r="R56" s="38">
        <f>R39-R45-R49</f>
        <v>211000.00000000006</v>
      </c>
      <c r="S56" s="38">
        <f>S39-S45-S49</f>
        <v>211000.00000000006</v>
      </c>
      <c r="T56" s="38">
        <f>T39-T45-T49</f>
        <v>211000.00000000006</v>
      </c>
      <c r="U56" s="38">
        <f>U39-U45-U49</f>
        <v>211000.00000000006</v>
      </c>
    </row>
    <row r="57" spans="1:22" x14ac:dyDescent="0.25">
      <c r="A57" s="35"/>
      <c r="B57" s="37" t="s">
        <v>34</v>
      </c>
      <c r="C57" s="36" t="s">
        <v>166</v>
      </c>
      <c r="D57" s="39"/>
      <c r="E57" s="39"/>
      <c r="F57" s="39"/>
      <c r="G57" s="38">
        <f>G56-G53</f>
        <v>-601999</v>
      </c>
      <c r="H57" s="38">
        <f>-(H56-H53)</f>
        <v>-287252.00000000006</v>
      </c>
      <c r="I57" s="38">
        <f>-(I56-I53)</f>
        <v>-287253.00000000006</v>
      </c>
      <c r="J57" s="38">
        <f>J56-J53</f>
        <v>287254.00000000006</v>
      </c>
      <c r="K57" s="38">
        <f>K56-K53</f>
        <v>287255.00000000006</v>
      </c>
      <c r="L57" s="38">
        <f t="shared" ref="L57:U57" si="22">L56-L53</f>
        <v>287256.00000000006</v>
      </c>
      <c r="M57" s="38">
        <f t="shared" si="22"/>
        <v>287257.00000000006</v>
      </c>
      <c r="N57" s="38">
        <f t="shared" si="22"/>
        <v>287258.00000000006</v>
      </c>
      <c r="O57" s="38">
        <f t="shared" si="22"/>
        <v>287259.00000000006</v>
      </c>
      <c r="P57" s="38">
        <f t="shared" si="22"/>
        <v>287260.00000000006</v>
      </c>
      <c r="Q57" s="38">
        <f t="shared" si="22"/>
        <v>207250.00000000006</v>
      </c>
      <c r="R57" s="38">
        <f t="shared" si="22"/>
        <v>207250.00000000006</v>
      </c>
      <c r="S57" s="38">
        <f t="shared" si="22"/>
        <v>207250.00000000006</v>
      </c>
      <c r="T57" s="38">
        <f t="shared" si="22"/>
        <v>207250.00000000006</v>
      </c>
      <c r="U57" s="38">
        <f t="shared" si="22"/>
        <v>207250.00000000006</v>
      </c>
    </row>
    <row r="58" spans="1:22" x14ac:dyDescent="0.25">
      <c r="A58" s="1"/>
      <c r="B58" s="116" t="s">
        <v>38</v>
      </c>
      <c r="C58" s="117"/>
      <c r="D58" s="117"/>
      <c r="E58" s="117"/>
      <c r="F58" s="118"/>
      <c r="G58" s="52">
        <f>IRR(G57:U57)</f>
        <v>0.15578104782472368</v>
      </c>
      <c r="H58" s="53"/>
      <c r="I58" s="53"/>
      <c r="J58" s="53"/>
      <c r="K58" s="53"/>
      <c r="L58" s="53"/>
      <c r="M58" s="53"/>
      <c r="N58" s="53"/>
      <c r="O58" s="53"/>
      <c r="P58" s="53"/>
    </row>
    <row r="59" spans="1:22" x14ac:dyDescent="0.25">
      <c r="A59" s="1"/>
      <c r="B59" s="116" t="s">
        <v>39</v>
      </c>
      <c r="C59" s="117"/>
      <c r="D59" s="117"/>
      <c r="E59" s="117"/>
      <c r="F59" s="118"/>
      <c r="G59" s="54">
        <f>NPV(0.1,G57:U57)</f>
        <v>353113.73591727321</v>
      </c>
      <c r="H59" s="53"/>
      <c r="I59" s="53"/>
      <c r="J59" s="53"/>
      <c r="K59" s="53"/>
      <c r="L59" s="53"/>
      <c r="M59" s="53"/>
      <c r="N59" s="53"/>
      <c r="O59" s="53"/>
      <c r="P59" s="53"/>
    </row>
    <row r="60" spans="1:22" x14ac:dyDescent="0.25">
      <c r="A60" s="1"/>
      <c r="B60" s="111"/>
      <c r="C60" s="111"/>
      <c r="D60" s="111"/>
      <c r="E60" s="111"/>
      <c r="F60" s="111"/>
      <c r="G60" s="55"/>
      <c r="H60" s="56"/>
      <c r="I60" s="56"/>
      <c r="J60" s="56"/>
      <c r="K60" s="56"/>
      <c r="L60" s="56"/>
      <c r="M60" s="56"/>
      <c r="N60" s="56"/>
      <c r="O60" s="56"/>
      <c r="P60" s="56"/>
    </row>
    <row r="61" spans="1:22" x14ac:dyDescent="0.25">
      <c r="A61" s="1"/>
      <c r="B61" s="111"/>
      <c r="C61" s="112"/>
      <c r="D61" s="112"/>
      <c r="E61" s="112"/>
      <c r="F61" s="112"/>
      <c r="G61" s="57"/>
      <c r="H61" s="56"/>
      <c r="I61" s="56"/>
      <c r="J61" s="56"/>
      <c r="K61" s="56"/>
      <c r="L61" s="56"/>
      <c r="M61" s="56"/>
      <c r="N61" s="56"/>
      <c r="O61" s="56"/>
      <c r="P61" s="56"/>
    </row>
    <row r="62" spans="1:22" x14ac:dyDescent="0.25">
      <c r="A62" s="1"/>
      <c r="B62" s="111"/>
      <c r="C62" s="112"/>
      <c r="D62" s="112"/>
      <c r="E62" s="112"/>
      <c r="F62" s="112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</row>
    <row r="63" spans="1:22" x14ac:dyDescent="0.25">
      <c r="A63" s="1"/>
      <c r="B63" s="109"/>
      <c r="C63" s="110"/>
      <c r="D63" s="110"/>
      <c r="E63" s="110"/>
      <c r="F63" s="110"/>
      <c r="G63" s="52"/>
      <c r="H63" s="56"/>
      <c r="I63" s="56"/>
      <c r="J63" s="56"/>
      <c r="K63" s="56"/>
      <c r="L63" s="56"/>
      <c r="M63" s="56"/>
      <c r="N63" s="56"/>
      <c r="O63" s="56"/>
      <c r="P63" s="56"/>
    </row>
    <row r="64" spans="1:22" x14ac:dyDescent="0.25">
      <c r="A64" s="1"/>
      <c r="B64" s="109"/>
      <c r="C64" s="110"/>
      <c r="D64" s="110"/>
      <c r="E64" s="110"/>
      <c r="F64" s="110"/>
      <c r="G64" s="54"/>
      <c r="H64" s="56"/>
      <c r="I64" s="56"/>
      <c r="J64" s="56"/>
      <c r="K64" s="56"/>
      <c r="L64" s="56"/>
      <c r="M64" s="56"/>
      <c r="N64" s="56"/>
      <c r="O64" s="56"/>
      <c r="P64" s="56"/>
    </row>
  </sheetData>
  <mergeCells count="18">
    <mergeCell ref="B28:F28"/>
    <mergeCell ref="B1:P1"/>
    <mergeCell ref="G2:P2"/>
    <mergeCell ref="B25:F25"/>
    <mergeCell ref="B26:F26"/>
    <mergeCell ref="B27:F27"/>
    <mergeCell ref="B64:F64"/>
    <mergeCell ref="B29:F29"/>
    <mergeCell ref="B30:F30"/>
    <mergeCell ref="B31:F31"/>
    <mergeCell ref="B34:P34"/>
    <mergeCell ref="G35:P35"/>
    <mergeCell ref="B58:F58"/>
    <mergeCell ref="B59:F59"/>
    <mergeCell ref="B60:F60"/>
    <mergeCell ref="B61:F61"/>
    <mergeCell ref="B62:F62"/>
    <mergeCell ref="B63:F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7780-B02A-4CDA-B54C-568B507A0989}">
  <dimension ref="A1:V77"/>
  <sheetViews>
    <sheetView topLeftCell="A7" workbookViewId="0">
      <selection activeCell="B38" sqref="B38:F38"/>
    </sheetView>
  </sheetViews>
  <sheetFormatPr defaultColWidth="15.7109375" defaultRowHeight="15" x14ac:dyDescent="0.25"/>
  <cols>
    <col min="2" max="2" width="26.85546875" customWidth="1"/>
    <col min="3" max="3" width="20.28515625" customWidth="1"/>
  </cols>
  <sheetData>
    <row r="1" spans="1:21" x14ac:dyDescent="0.25">
      <c r="A1" s="35"/>
      <c r="B1" s="113" t="s">
        <v>13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21" x14ac:dyDescent="0.25">
      <c r="A2" s="35"/>
      <c r="B2" s="36"/>
      <c r="C2" s="37" t="s">
        <v>14</v>
      </c>
      <c r="D2" s="38" t="s">
        <v>15</v>
      </c>
      <c r="E2" s="38" t="s">
        <v>209</v>
      </c>
      <c r="F2" s="38" t="s">
        <v>17</v>
      </c>
      <c r="G2" s="114" t="s">
        <v>18</v>
      </c>
      <c r="H2" s="115"/>
      <c r="I2" s="115"/>
      <c r="J2" s="115"/>
      <c r="K2" s="115"/>
      <c r="L2" s="115"/>
      <c r="M2" s="115"/>
      <c r="N2" s="115"/>
      <c r="O2" s="115"/>
      <c r="P2" s="115"/>
    </row>
    <row r="3" spans="1:21" x14ac:dyDescent="0.25">
      <c r="A3" s="35"/>
      <c r="B3" s="37" t="s">
        <v>19</v>
      </c>
      <c r="C3" s="36"/>
      <c r="D3" s="39"/>
      <c r="E3" s="39"/>
      <c r="F3" s="39"/>
      <c r="G3" s="39">
        <v>1</v>
      </c>
      <c r="H3" s="39">
        <f t="shared" ref="H3:P3" si="0">G3+1</f>
        <v>2</v>
      </c>
      <c r="I3" s="39">
        <f t="shared" si="0"/>
        <v>3</v>
      </c>
      <c r="J3" s="39">
        <f t="shared" si="0"/>
        <v>4</v>
      </c>
      <c r="K3" s="39">
        <f t="shared" si="0"/>
        <v>5</v>
      </c>
      <c r="L3" s="39">
        <f t="shared" si="0"/>
        <v>6</v>
      </c>
      <c r="M3" s="39">
        <f t="shared" si="0"/>
        <v>7</v>
      </c>
      <c r="N3" s="39">
        <f t="shared" si="0"/>
        <v>8</v>
      </c>
      <c r="O3" s="39">
        <f t="shared" si="0"/>
        <v>9</v>
      </c>
      <c r="P3" s="39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5"/>
      <c r="B4" s="60" t="s">
        <v>190</v>
      </c>
      <c r="C4" s="36" t="s">
        <v>208</v>
      </c>
      <c r="D4" s="39">
        <v>15000</v>
      </c>
      <c r="E4" s="39">
        <v>3</v>
      </c>
      <c r="F4" s="39">
        <f>D4*E4*10</f>
        <v>450000</v>
      </c>
      <c r="G4" s="39"/>
      <c r="H4" s="39">
        <f>F4</f>
        <v>450000</v>
      </c>
      <c r="I4" s="39">
        <f>F4</f>
        <v>450000</v>
      </c>
      <c r="J4" s="39">
        <f>F4</f>
        <v>450000</v>
      </c>
      <c r="K4" s="39">
        <f t="shared" ref="K4:U5" si="1">J4</f>
        <v>450000</v>
      </c>
      <c r="L4" s="39">
        <f t="shared" si="1"/>
        <v>450000</v>
      </c>
      <c r="M4" s="39">
        <f t="shared" si="1"/>
        <v>450000</v>
      </c>
      <c r="N4" s="39">
        <f t="shared" si="1"/>
        <v>450000</v>
      </c>
      <c r="O4" s="39">
        <f t="shared" si="1"/>
        <v>450000</v>
      </c>
      <c r="P4" s="39">
        <f t="shared" si="1"/>
        <v>450000</v>
      </c>
      <c r="Q4" s="39">
        <f t="shared" si="1"/>
        <v>450000</v>
      </c>
      <c r="R4" s="39">
        <f t="shared" si="1"/>
        <v>450000</v>
      </c>
      <c r="S4" s="39">
        <f t="shared" si="1"/>
        <v>450000</v>
      </c>
      <c r="T4" s="39">
        <f t="shared" si="1"/>
        <v>450000</v>
      </c>
      <c r="U4" s="39">
        <f t="shared" si="1"/>
        <v>450000</v>
      </c>
    </row>
    <row r="5" spans="1:21" ht="24.75" x14ac:dyDescent="0.25">
      <c r="A5" s="35"/>
      <c r="B5" s="61" t="s">
        <v>191</v>
      </c>
      <c r="C5" s="122" t="s">
        <v>192</v>
      </c>
      <c r="D5" s="39">
        <v>8000</v>
      </c>
      <c r="E5" s="39">
        <v>3</v>
      </c>
      <c r="F5" s="39">
        <f>D5*E5</f>
        <v>24000</v>
      </c>
      <c r="G5" s="39"/>
      <c r="H5" s="39">
        <f>F5</f>
        <v>24000</v>
      </c>
      <c r="I5" s="39">
        <f>H5</f>
        <v>24000</v>
      </c>
      <c r="J5" s="39">
        <f>H5</f>
        <v>24000</v>
      </c>
      <c r="K5" s="39">
        <f t="shared" si="1"/>
        <v>24000</v>
      </c>
      <c r="L5" s="39">
        <f t="shared" si="1"/>
        <v>24000</v>
      </c>
      <c r="M5" s="39">
        <f t="shared" si="1"/>
        <v>24000</v>
      </c>
      <c r="N5" s="39">
        <f t="shared" si="1"/>
        <v>24000</v>
      </c>
      <c r="O5" s="39">
        <f t="shared" si="1"/>
        <v>24000</v>
      </c>
      <c r="P5" s="39">
        <f t="shared" si="1"/>
        <v>24000</v>
      </c>
      <c r="Q5" s="39">
        <f t="shared" si="1"/>
        <v>24000</v>
      </c>
      <c r="R5" s="39">
        <f t="shared" si="1"/>
        <v>24000</v>
      </c>
      <c r="S5" s="39">
        <f t="shared" si="1"/>
        <v>24000</v>
      </c>
      <c r="T5" s="39">
        <f t="shared" si="1"/>
        <v>24000</v>
      </c>
      <c r="U5" s="39">
        <f t="shared" si="1"/>
        <v>24000</v>
      </c>
    </row>
    <row r="6" spans="1:21" x14ac:dyDescent="0.25">
      <c r="A6" s="35"/>
      <c r="B6" s="37" t="s">
        <v>21</v>
      </c>
      <c r="C6" s="36"/>
      <c r="D6" s="39"/>
      <c r="E6" s="39"/>
      <c r="F6" s="38">
        <f t="shared" ref="F6:U6" si="2">SUM(F4:F5)</f>
        <v>474000</v>
      </c>
      <c r="G6" s="38">
        <f t="shared" si="2"/>
        <v>0</v>
      </c>
      <c r="H6" s="38">
        <f t="shared" si="2"/>
        <v>474000</v>
      </c>
      <c r="I6" s="38">
        <f t="shared" si="2"/>
        <v>474000</v>
      </c>
      <c r="J6" s="38">
        <f t="shared" si="2"/>
        <v>474000</v>
      </c>
      <c r="K6" s="38">
        <f t="shared" si="2"/>
        <v>474000</v>
      </c>
      <c r="L6" s="38">
        <f t="shared" si="2"/>
        <v>474000</v>
      </c>
      <c r="M6" s="38">
        <f t="shared" si="2"/>
        <v>474000</v>
      </c>
      <c r="N6" s="38">
        <f t="shared" si="2"/>
        <v>474000</v>
      </c>
      <c r="O6" s="38">
        <f t="shared" si="2"/>
        <v>474000</v>
      </c>
      <c r="P6" s="38">
        <f t="shared" si="2"/>
        <v>474000</v>
      </c>
      <c r="Q6" s="38">
        <f t="shared" si="2"/>
        <v>474000</v>
      </c>
      <c r="R6" s="38">
        <f t="shared" si="2"/>
        <v>474000</v>
      </c>
      <c r="S6" s="38">
        <f t="shared" si="2"/>
        <v>474000</v>
      </c>
      <c r="T6" s="38">
        <f t="shared" si="2"/>
        <v>474000</v>
      </c>
      <c r="U6" s="38">
        <f t="shared" si="2"/>
        <v>474000</v>
      </c>
    </row>
    <row r="7" spans="1:21" x14ac:dyDescent="0.25">
      <c r="A7" s="35"/>
      <c r="B7" s="36"/>
      <c r="C7" s="36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21" x14ac:dyDescent="0.25">
      <c r="A8" s="35"/>
      <c r="B8" s="42" t="s">
        <v>22</v>
      </c>
      <c r="C8" s="36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21" x14ac:dyDescent="0.25">
      <c r="A9" s="35"/>
      <c r="B9" s="37" t="s">
        <v>23</v>
      </c>
      <c r="C9" s="36"/>
      <c r="D9" s="39"/>
      <c r="E9" s="39"/>
      <c r="F9" s="43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21" x14ac:dyDescent="0.25">
      <c r="A10" s="35"/>
      <c r="B10" s="62" t="s">
        <v>43</v>
      </c>
      <c r="C10" s="36" t="s">
        <v>25</v>
      </c>
      <c r="D10" s="39">
        <v>1</v>
      </c>
      <c r="E10" s="39">
        <v>800000</v>
      </c>
      <c r="F10" s="39">
        <f>D10*E10</f>
        <v>800000</v>
      </c>
      <c r="G10" s="39">
        <f>D10*E10</f>
        <v>800000</v>
      </c>
      <c r="H10" s="39">
        <v>0</v>
      </c>
      <c r="I10" s="39">
        <v>0</v>
      </c>
      <c r="J10" s="39">
        <v>0</v>
      </c>
      <c r="K10" s="39"/>
      <c r="L10" s="39"/>
      <c r="M10" s="39"/>
      <c r="N10" s="39"/>
      <c r="O10" s="39"/>
      <c r="P10" s="39">
        <f>K10</f>
        <v>0</v>
      </c>
      <c r="U10" s="47"/>
    </row>
    <row r="11" spans="1:21" x14ac:dyDescent="0.25">
      <c r="A11" s="35"/>
      <c r="B11" s="62" t="s">
        <v>194</v>
      </c>
      <c r="C11" s="36" t="s">
        <v>25</v>
      </c>
      <c r="D11" s="39">
        <v>1</v>
      </c>
      <c r="E11" s="39">
        <v>300000</v>
      </c>
      <c r="F11" s="39">
        <f>D11*E11</f>
        <v>300000</v>
      </c>
      <c r="G11" s="39">
        <f>D11*E11</f>
        <v>300000</v>
      </c>
      <c r="H11" s="39">
        <v>0</v>
      </c>
      <c r="I11" s="39">
        <v>0</v>
      </c>
      <c r="J11" s="39">
        <v>0</v>
      </c>
      <c r="K11" s="39">
        <v>0</v>
      </c>
      <c r="L11" s="39"/>
      <c r="M11" s="39"/>
      <c r="N11" s="39"/>
      <c r="O11" s="39"/>
      <c r="P11" s="39"/>
    </row>
    <row r="12" spans="1:21" x14ac:dyDescent="0.25">
      <c r="A12" s="35"/>
      <c r="B12" s="37" t="s">
        <v>26</v>
      </c>
      <c r="C12" s="36"/>
      <c r="D12" s="39"/>
      <c r="E12" s="39"/>
      <c r="F12" s="38">
        <f t="shared" ref="F12:U12" si="3">SUM(F10:F11)</f>
        <v>1100000</v>
      </c>
      <c r="G12" s="38">
        <f t="shared" si="3"/>
        <v>1100000</v>
      </c>
      <c r="H12" s="38">
        <f t="shared" si="3"/>
        <v>0</v>
      </c>
      <c r="I12" s="38">
        <f t="shared" si="3"/>
        <v>0</v>
      </c>
      <c r="J12" s="38">
        <f t="shared" si="3"/>
        <v>0</v>
      </c>
      <c r="K12" s="38">
        <f t="shared" si="3"/>
        <v>0</v>
      </c>
      <c r="L12" s="38">
        <f t="shared" si="3"/>
        <v>0</v>
      </c>
      <c r="M12" s="38">
        <f t="shared" si="3"/>
        <v>0</v>
      </c>
      <c r="N12" s="38">
        <f t="shared" si="3"/>
        <v>0</v>
      </c>
      <c r="O12" s="38">
        <f t="shared" si="3"/>
        <v>0</v>
      </c>
      <c r="P12" s="38">
        <f t="shared" si="3"/>
        <v>0</v>
      </c>
      <c r="Q12" s="38">
        <f t="shared" si="3"/>
        <v>0</v>
      </c>
      <c r="R12" s="38">
        <f t="shared" si="3"/>
        <v>0</v>
      </c>
      <c r="S12" s="38">
        <f t="shared" si="3"/>
        <v>0</v>
      </c>
      <c r="T12" s="38">
        <f t="shared" si="3"/>
        <v>0</v>
      </c>
      <c r="U12" s="38">
        <f t="shared" si="3"/>
        <v>0</v>
      </c>
    </row>
    <row r="13" spans="1:21" x14ac:dyDescent="0.25">
      <c r="A13" s="35"/>
      <c r="B13" s="36"/>
      <c r="C13" s="36"/>
      <c r="D13" s="39"/>
      <c r="E13" s="39"/>
      <c r="F13" s="39">
        <f t="shared" ref="F13:F14" si="4">D13*E13</f>
        <v>0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21" x14ac:dyDescent="0.25">
      <c r="A14" s="35"/>
      <c r="B14" s="37" t="s">
        <v>193</v>
      </c>
      <c r="C14" s="36"/>
      <c r="D14" s="39"/>
      <c r="E14" s="39"/>
      <c r="F14" s="39">
        <f t="shared" si="4"/>
        <v>0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21" ht="60" x14ac:dyDescent="0.25">
      <c r="B15" s="99" t="s">
        <v>210</v>
      </c>
      <c r="C15" s="36" t="s">
        <v>166</v>
      </c>
      <c r="D15" s="39"/>
      <c r="E15" s="39"/>
      <c r="F15" s="39">
        <f>F12*0.1</f>
        <v>110000</v>
      </c>
      <c r="G15" s="39">
        <f>F15*0.5</f>
        <v>55000</v>
      </c>
      <c r="H15" s="39">
        <f>F15</f>
        <v>110000</v>
      </c>
      <c r="I15" s="39">
        <f t="shared" ref="I15:U20" si="5">H15</f>
        <v>110000</v>
      </c>
      <c r="J15" s="39">
        <f t="shared" si="5"/>
        <v>110000</v>
      </c>
      <c r="K15" s="39">
        <f t="shared" si="5"/>
        <v>110000</v>
      </c>
      <c r="L15" s="39">
        <f t="shared" si="5"/>
        <v>110000</v>
      </c>
      <c r="M15" s="39">
        <f t="shared" si="5"/>
        <v>110000</v>
      </c>
      <c r="N15" s="39">
        <f t="shared" si="5"/>
        <v>110000</v>
      </c>
      <c r="O15" s="39">
        <f t="shared" si="5"/>
        <v>110000</v>
      </c>
      <c r="P15" s="39">
        <f t="shared" si="5"/>
        <v>110000</v>
      </c>
      <c r="Q15" s="39">
        <f t="shared" si="5"/>
        <v>110000</v>
      </c>
      <c r="R15" s="39">
        <f t="shared" si="5"/>
        <v>110000</v>
      </c>
      <c r="S15" s="39">
        <f t="shared" si="5"/>
        <v>110000</v>
      </c>
      <c r="T15" s="39">
        <f t="shared" si="5"/>
        <v>110000</v>
      </c>
      <c r="U15" s="39">
        <f t="shared" si="5"/>
        <v>110000</v>
      </c>
    </row>
    <row r="16" spans="1:21" x14ac:dyDescent="0.25">
      <c r="B16" s="99"/>
      <c r="C16" s="36"/>
      <c r="D16" s="39"/>
      <c r="E16" s="39"/>
      <c r="F16" s="39">
        <v>0</v>
      </c>
      <c r="G16" s="39"/>
      <c r="H16" s="39">
        <f>F16</f>
        <v>0</v>
      </c>
      <c r="I16" s="39">
        <f t="shared" si="5"/>
        <v>0</v>
      </c>
      <c r="J16" s="39">
        <f t="shared" si="5"/>
        <v>0</v>
      </c>
      <c r="K16" s="39">
        <f t="shared" si="5"/>
        <v>0</v>
      </c>
      <c r="L16" s="39">
        <f t="shared" si="5"/>
        <v>0</v>
      </c>
      <c r="M16" s="39">
        <f t="shared" si="5"/>
        <v>0</v>
      </c>
      <c r="N16" s="39">
        <f t="shared" si="5"/>
        <v>0</v>
      </c>
      <c r="O16" s="39">
        <f t="shared" si="5"/>
        <v>0</v>
      </c>
      <c r="P16" s="39">
        <f t="shared" si="5"/>
        <v>0</v>
      </c>
      <c r="Q16" s="39">
        <f t="shared" si="5"/>
        <v>0</v>
      </c>
      <c r="R16" s="39">
        <f t="shared" si="5"/>
        <v>0</v>
      </c>
      <c r="S16" s="39">
        <f t="shared" si="5"/>
        <v>0</v>
      </c>
      <c r="T16" s="39">
        <f t="shared" si="5"/>
        <v>0</v>
      </c>
      <c r="U16" s="39">
        <f t="shared" si="5"/>
        <v>0</v>
      </c>
    </row>
    <row r="17" spans="1:22" x14ac:dyDescent="0.25">
      <c r="A17" s="35"/>
      <c r="B17" s="99"/>
      <c r="C17" s="36"/>
      <c r="D17" s="39"/>
      <c r="E17" s="39"/>
      <c r="F17" s="39">
        <v>0</v>
      </c>
      <c r="G17" s="39">
        <f>F17*0.75</f>
        <v>0</v>
      </c>
      <c r="H17" s="39">
        <f>F17</f>
        <v>0</v>
      </c>
      <c r="I17" s="39">
        <f t="shared" si="5"/>
        <v>0</v>
      </c>
      <c r="J17" s="39">
        <f t="shared" si="5"/>
        <v>0</v>
      </c>
      <c r="K17" s="39">
        <f t="shared" si="5"/>
        <v>0</v>
      </c>
      <c r="L17" s="39">
        <f t="shared" si="5"/>
        <v>0</v>
      </c>
      <c r="M17" s="39">
        <f t="shared" si="5"/>
        <v>0</v>
      </c>
      <c r="N17" s="39">
        <f t="shared" si="5"/>
        <v>0</v>
      </c>
      <c r="O17" s="39">
        <f t="shared" si="5"/>
        <v>0</v>
      </c>
      <c r="P17" s="39">
        <f t="shared" si="5"/>
        <v>0</v>
      </c>
      <c r="Q17" s="39">
        <f t="shared" si="5"/>
        <v>0</v>
      </c>
      <c r="R17" s="39">
        <f t="shared" si="5"/>
        <v>0</v>
      </c>
      <c r="S17" s="39">
        <f t="shared" si="5"/>
        <v>0</v>
      </c>
      <c r="T17" s="39">
        <f t="shared" si="5"/>
        <v>0</v>
      </c>
      <c r="U17" s="39">
        <f t="shared" si="5"/>
        <v>0</v>
      </c>
    </row>
    <row r="18" spans="1:22" x14ac:dyDescent="0.25">
      <c r="A18" s="35"/>
      <c r="B18" s="99"/>
      <c r="C18" s="36"/>
      <c r="D18" s="39"/>
      <c r="E18" s="39"/>
      <c r="F18" s="39">
        <v>0</v>
      </c>
      <c r="G18" s="39">
        <f>F18</f>
        <v>0</v>
      </c>
      <c r="H18" s="39">
        <f>G18</f>
        <v>0</v>
      </c>
      <c r="I18" s="39">
        <f t="shared" si="5"/>
        <v>0</v>
      </c>
      <c r="J18" s="39">
        <f t="shared" si="5"/>
        <v>0</v>
      </c>
      <c r="K18" s="39">
        <f t="shared" si="5"/>
        <v>0</v>
      </c>
      <c r="L18" s="39">
        <f t="shared" si="5"/>
        <v>0</v>
      </c>
      <c r="M18" s="39">
        <f t="shared" si="5"/>
        <v>0</v>
      </c>
      <c r="N18" s="39">
        <f t="shared" si="5"/>
        <v>0</v>
      </c>
      <c r="O18" s="39">
        <f t="shared" si="5"/>
        <v>0</v>
      </c>
      <c r="P18" s="39">
        <f t="shared" si="5"/>
        <v>0</v>
      </c>
      <c r="Q18" s="39">
        <f t="shared" si="5"/>
        <v>0</v>
      </c>
      <c r="R18" s="39">
        <f t="shared" si="5"/>
        <v>0</v>
      </c>
      <c r="S18" s="39">
        <f t="shared" si="5"/>
        <v>0</v>
      </c>
      <c r="T18" s="39">
        <f t="shared" si="5"/>
        <v>0</v>
      </c>
      <c r="U18" s="39">
        <f t="shared" si="5"/>
        <v>0</v>
      </c>
      <c r="V18" s="45"/>
    </row>
    <row r="19" spans="1:22" x14ac:dyDescent="0.25">
      <c r="A19" s="35"/>
      <c r="C19" s="36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45"/>
    </row>
    <row r="20" spans="1:22" x14ac:dyDescent="0.25">
      <c r="A20" s="35"/>
      <c r="B20" s="44"/>
      <c r="C20" s="36"/>
      <c r="D20" s="39"/>
      <c r="E20" s="39"/>
      <c r="F20" s="39">
        <v>0</v>
      </c>
      <c r="G20" s="39">
        <f>F20</f>
        <v>0</v>
      </c>
      <c r="H20" s="39">
        <f>F20</f>
        <v>0</v>
      </c>
      <c r="I20" s="39">
        <f t="shared" si="5"/>
        <v>0</v>
      </c>
      <c r="J20" s="39">
        <f t="shared" si="5"/>
        <v>0</v>
      </c>
      <c r="K20" s="39">
        <f t="shared" si="5"/>
        <v>0</v>
      </c>
      <c r="L20" s="39">
        <f t="shared" si="5"/>
        <v>0</v>
      </c>
      <c r="M20" s="39">
        <f t="shared" si="5"/>
        <v>0</v>
      </c>
      <c r="N20" s="39">
        <f t="shared" si="5"/>
        <v>0</v>
      </c>
      <c r="O20" s="39">
        <f t="shared" si="5"/>
        <v>0</v>
      </c>
      <c r="P20" s="39">
        <f t="shared" si="5"/>
        <v>0</v>
      </c>
      <c r="Q20" s="39">
        <f t="shared" si="5"/>
        <v>0</v>
      </c>
      <c r="R20" s="39">
        <f t="shared" si="5"/>
        <v>0</v>
      </c>
      <c r="S20" s="39">
        <f t="shared" si="5"/>
        <v>0</v>
      </c>
      <c r="T20" s="39">
        <f t="shared" si="5"/>
        <v>0</v>
      </c>
      <c r="U20" s="39">
        <f t="shared" si="5"/>
        <v>0</v>
      </c>
      <c r="V20" s="45"/>
    </row>
    <row r="21" spans="1:22" x14ac:dyDescent="0.25">
      <c r="A21" s="35"/>
      <c r="B21" s="99"/>
      <c r="C21" s="36"/>
      <c r="D21" s="39"/>
      <c r="E21" s="39"/>
      <c r="F21" s="39">
        <v>0</v>
      </c>
      <c r="G21" s="39">
        <f t="shared" ref="G21:U21" si="6">F21</f>
        <v>0</v>
      </c>
      <c r="H21" s="39">
        <f t="shared" si="6"/>
        <v>0</v>
      </c>
      <c r="I21" s="39">
        <f t="shared" si="6"/>
        <v>0</v>
      </c>
      <c r="J21" s="39">
        <f t="shared" si="6"/>
        <v>0</v>
      </c>
      <c r="K21" s="39">
        <f t="shared" si="6"/>
        <v>0</v>
      </c>
      <c r="L21" s="39">
        <f t="shared" si="6"/>
        <v>0</v>
      </c>
      <c r="M21" s="39">
        <f t="shared" si="6"/>
        <v>0</v>
      </c>
      <c r="N21" s="39">
        <f t="shared" si="6"/>
        <v>0</v>
      </c>
      <c r="O21" s="39">
        <f t="shared" si="6"/>
        <v>0</v>
      </c>
      <c r="P21" s="39">
        <f t="shared" si="6"/>
        <v>0</v>
      </c>
      <c r="Q21" s="39">
        <f t="shared" si="6"/>
        <v>0</v>
      </c>
      <c r="R21" s="39">
        <f t="shared" si="6"/>
        <v>0</v>
      </c>
      <c r="S21" s="39">
        <f t="shared" si="6"/>
        <v>0</v>
      </c>
      <c r="T21" s="39">
        <f t="shared" si="6"/>
        <v>0</v>
      </c>
      <c r="U21" s="39">
        <f t="shared" si="6"/>
        <v>0</v>
      </c>
      <c r="V21" s="45"/>
    </row>
    <row r="22" spans="1:22" x14ac:dyDescent="0.25">
      <c r="A22" s="35"/>
      <c r="B22" s="44"/>
      <c r="C22" s="36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 spans="1:22" x14ac:dyDescent="0.25">
      <c r="A23" s="35"/>
      <c r="B23" s="37" t="s">
        <v>28</v>
      </c>
      <c r="C23" s="36"/>
      <c r="D23" s="39"/>
      <c r="E23" s="39"/>
      <c r="F23" s="38">
        <f>SUM(F15:F22)</f>
        <v>110000</v>
      </c>
      <c r="G23" s="38">
        <f t="shared" ref="G23:U23" si="7">SUM(G15:G22)</f>
        <v>55000</v>
      </c>
      <c r="H23" s="38">
        <f t="shared" si="7"/>
        <v>110000</v>
      </c>
      <c r="I23" s="38">
        <f t="shared" si="7"/>
        <v>110000</v>
      </c>
      <c r="J23" s="38">
        <f t="shared" si="7"/>
        <v>110000</v>
      </c>
      <c r="K23" s="38">
        <f t="shared" si="7"/>
        <v>110000</v>
      </c>
      <c r="L23" s="38">
        <f t="shared" si="7"/>
        <v>110000</v>
      </c>
      <c r="M23" s="38">
        <f t="shared" si="7"/>
        <v>110000</v>
      </c>
      <c r="N23" s="38">
        <f t="shared" si="7"/>
        <v>110000</v>
      </c>
      <c r="O23" s="38">
        <f t="shared" si="7"/>
        <v>110000</v>
      </c>
      <c r="P23" s="38">
        <f t="shared" si="7"/>
        <v>110000</v>
      </c>
      <c r="Q23" s="38">
        <f t="shared" si="7"/>
        <v>110000</v>
      </c>
      <c r="R23" s="38">
        <f t="shared" si="7"/>
        <v>110000</v>
      </c>
      <c r="S23" s="38">
        <f t="shared" si="7"/>
        <v>110000</v>
      </c>
      <c r="T23" s="38">
        <f t="shared" si="7"/>
        <v>110000</v>
      </c>
      <c r="U23" s="38">
        <f t="shared" si="7"/>
        <v>110000</v>
      </c>
    </row>
    <row r="24" spans="1:22" x14ac:dyDescent="0.25">
      <c r="A24" s="35"/>
      <c r="B24" s="46"/>
      <c r="C24" s="36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1:22" x14ac:dyDescent="0.25">
      <c r="A25" s="35"/>
      <c r="B25" s="37" t="s">
        <v>29</v>
      </c>
      <c r="C25" s="36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1:22" x14ac:dyDescent="0.25">
      <c r="A26" s="35"/>
      <c r="B26" s="36" t="s">
        <v>30</v>
      </c>
      <c r="C26" s="36" t="s">
        <v>207</v>
      </c>
      <c r="D26" s="39">
        <v>1</v>
      </c>
      <c r="E26" s="48">
        <f>E10/15</f>
        <v>53333.333333333336</v>
      </c>
      <c r="F26" s="39">
        <f>D26*E26</f>
        <v>53333.333333333336</v>
      </c>
      <c r="G26" s="39">
        <f>F26</f>
        <v>53333.333333333336</v>
      </c>
      <c r="H26" s="39">
        <f>D26*E26</f>
        <v>53333.333333333336</v>
      </c>
      <c r="I26" s="39">
        <f t="shared" ref="I26:U26" si="8">H26</f>
        <v>53333.333333333336</v>
      </c>
      <c r="J26" s="39">
        <f t="shared" si="8"/>
        <v>53333.333333333336</v>
      </c>
      <c r="K26" s="39">
        <f t="shared" si="8"/>
        <v>53333.333333333336</v>
      </c>
      <c r="L26" s="39">
        <f t="shared" si="8"/>
        <v>53333.333333333336</v>
      </c>
      <c r="M26" s="39">
        <f t="shared" si="8"/>
        <v>53333.333333333336</v>
      </c>
      <c r="N26" s="39">
        <f t="shared" si="8"/>
        <v>53333.333333333336</v>
      </c>
      <c r="O26" s="39">
        <f t="shared" si="8"/>
        <v>53333.333333333336</v>
      </c>
      <c r="P26" s="39">
        <f t="shared" si="8"/>
        <v>53333.333333333336</v>
      </c>
      <c r="Q26" s="39">
        <f t="shared" si="8"/>
        <v>53333.333333333336</v>
      </c>
      <c r="R26" s="39">
        <f t="shared" si="8"/>
        <v>53333.333333333336</v>
      </c>
      <c r="S26" s="39">
        <f t="shared" si="8"/>
        <v>53333.333333333336</v>
      </c>
      <c r="T26" s="39">
        <f t="shared" si="8"/>
        <v>53333.333333333336</v>
      </c>
      <c r="U26" s="39">
        <f t="shared" si="8"/>
        <v>53333.333333333336</v>
      </c>
      <c r="V26" s="47">
        <f>SUM(H26:U26)</f>
        <v>746666.66666666674</v>
      </c>
    </row>
    <row r="27" spans="1:22" x14ac:dyDescent="0.25">
      <c r="A27" s="35"/>
      <c r="B27" s="37" t="s">
        <v>31</v>
      </c>
      <c r="C27" s="36"/>
      <c r="D27" s="39"/>
      <c r="E27" s="39"/>
      <c r="F27" s="38">
        <f t="shared" ref="F27:U27" si="9">SUM(F26:F26)</f>
        <v>53333.333333333336</v>
      </c>
      <c r="G27" s="38">
        <f t="shared" si="9"/>
        <v>53333.333333333336</v>
      </c>
      <c r="H27" s="38">
        <f t="shared" si="9"/>
        <v>53333.333333333336</v>
      </c>
      <c r="I27" s="38">
        <f t="shared" si="9"/>
        <v>53333.333333333336</v>
      </c>
      <c r="J27" s="38">
        <f t="shared" si="9"/>
        <v>53333.333333333336</v>
      </c>
      <c r="K27" s="38">
        <f t="shared" si="9"/>
        <v>53333.333333333336</v>
      </c>
      <c r="L27" s="38">
        <f t="shared" si="9"/>
        <v>53333.333333333336</v>
      </c>
      <c r="M27" s="38">
        <f t="shared" si="9"/>
        <v>53333.333333333336</v>
      </c>
      <c r="N27" s="38">
        <f t="shared" si="9"/>
        <v>53333.333333333336</v>
      </c>
      <c r="O27" s="38">
        <f t="shared" si="9"/>
        <v>53333.333333333336</v>
      </c>
      <c r="P27" s="38">
        <f t="shared" si="9"/>
        <v>53333.333333333336</v>
      </c>
      <c r="Q27" s="38">
        <f t="shared" si="9"/>
        <v>53333.333333333336</v>
      </c>
      <c r="R27" s="38">
        <f t="shared" si="9"/>
        <v>53333.333333333336</v>
      </c>
      <c r="S27" s="38">
        <f t="shared" si="9"/>
        <v>53333.333333333336</v>
      </c>
      <c r="T27" s="38">
        <f t="shared" si="9"/>
        <v>53333.333333333336</v>
      </c>
      <c r="U27" s="38">
        <f t="shared" si="9"/>
        <v>53333.333333333336</v>
      </c>
    </row>
    <row r="28" spans="1:22" x14ac:dyDescent="0.25">
      <c r="A28" s="35"/>
      <c r="B28" s="37" t="s">
        <v>32</v>
      </c>
      <c r="C28" s="36"/>
      <c r="D28" s="39"/>
      <c r="E28" s="39"/>
      <c r="F28" s="38">
        <f t="shared" ref="F28:U28" si="10">F12+F23+F27</f>
        <v>1263333.3333333333</v>
      </c>
      <c r="G28" s="38">
        <f t="shared" si="10"/>
        <v>1208333.3333333333</v>
      </c>
      <c r="H28" s="38">
        <f t="shared" si="10"/>
        <v>163333.33333333334</v>
      </c>
      <c r="I28" s="38">
        <f t="shared" si="10"/>
        <v>163333.33333333334</v>
      </c>
      <c r="J28" s="38">
        <f t="shared" si="10"/>
        <v>163333.33333333334</v>
      </c>
      <c r="K28" s="38">
        <f t="shared" si="10"/>
        <v>163333.33333333334</v>
      </c>
      <c r="L28" s="38">
        <f t="shared" si="10"/>
        <v>163333.33333333334</v>
      </c>
      <c r="M28" s="38">
        <f t="shared" si="10"/>
        <v>163333.33333333334</v>
      </c>
      <c r="N28" s="38">
        <f t="shared" si="10"/>
        <v>163333.33333333334</v>
      </c>
      <c r="O28" s="38">
        <f t="shared" si="10"/>
        <v>163333.33333333334</v>
      </c>
      <c r="P28" s="38">
        <f t="shared" si="10"/>
        <v>163333.33333333334</v>
      </c>
      <c r="Q28" s="38">
        <f t="shared" si="10"/>
        <v>163333.33333333334</v>
      </c>
      <c r="R28" s="38">
        <f t="shared" si="10"/>
        <v>163333.33333333334</v>
      </c>
      <c r="S28" s="38">
        <f t="shared" si="10"/>
        <v>163333.33333333334</v>
      </c>
      <c r="T28" s="38">
        <f t="shared" si="10"/>
        <v>163333.33333333334</v>
      </c>
      <c r="U28" s="38">
        <f t="shared" si="10"/>
        <v>163333.33333333334</v>
      </c>
    </row>
    <row r="29" spans="1:22" x14ac:dyDescent="0.25">
      <c r="A29" s="35"/>
      <c r="B29" s="37"/>
      <c r="C29" s="36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</row>
    <row r="30" spans="1:22" x14ac:dyDescent="0.25">
      <c r="A30" s="35"/>
      <c r="B30" s="37" t="s">
        <v>33</v>
      </c>
      <c r="C30" s="36" t="s">
        <v>207</v>
      </c>
      <c r="D30" s="39"/>
      <c r="E30" s="39"/>
      <c r="F30" s="39"/>
      <c r="G30" s="38">
        <f t="shared" ref="G30:U30" si="11">G6-G12-G23</f>
        <v>-1155000</v>
      </c>
      <c r="H30" s="38">
        <f t="shared" si="11"/>
        <v>364000</v>
      </c>
      <c r="I30" s="38">
        <f t="shared" si="11"/>
        <v>364000</v>
      </c>
      <c r="J30" s="38">
        <f t="shared" si="11"/>
        <v>364000</v>
      </c>
      <c r="K30" s="38">
        <f t="shared" si="11"/>
        <v>364000</v>
      </c>
      <c r="L30" s="38">
        <f t="shared" si="11"/>
        <v>364000</v>
      </c>
      <c r="M30" s="38">
        <f t="shared" si="11"/>
        <v>364000</v>
      </c>
      <c r="N30" s="38">
        <f t="shared" si="11"/>
        <v>364000</v>
      </c>
      <c r="O30" s="38">
        <f t="shared" si="11"/>
        <v>364000</v>
      </c>
      <c r="P30" s="38">
        <f t="shared" si="11"/>
        <v>364000</v>
      </c>
      <c r="Q30" s="38">
        <f t="shared" si="11"/>
        <v>364000</v>
      </c>
      <c r="R30" s="38">
        <f t="shared" si="11"/>
        <v>364000</v>
      </c>
      <c r="S30" s="38">
        <f t="shared" si="11"/>
        <v>364000</v>
      </c>
      <c r="T30" s="38">
        <f t="shared" si="11"/>
        <v>364000</v>
      </c>
      <c r="U30" s="38">
        <f t="shared" si="11"/>
        <v>364000</v>
      </c>
    </row>
    <row r="31" spans="1:22" x14ac:dyDescent="0.25">
      <c r="A31" s="35"/>
      <c r="B31" s="37" t="s">
        <v>41</v>
      </c>
      <c r="C31" s="36" t="s">
        <v>207</v>
      </c>
      <c r="D31" s="39"/>
      <c r="E31" s="39"/>
      <c r="F31" s="39"/>
      <c r="G31" s="38">
        <f>G30-G27</f>
        <v>-1208333.3333333333</v>
      </c>
      <c r="H31" s="38">
        <f>H30-H27</f>
        <v>310666.66666666669</v>
      </c>
      <c r="I31" s="38">
        <f>I30-I27</f>
        <v>310666.66666666669</v>
      </c>
      <c r="J31" s="38">
        <f>J30-J27</f>
        <v>310666.66666666669</v>
      </c>
      <c r="K31" s="38">
        <f>K30-K27</f>
        <v>310666.66666666669</v>
      </c>
      <c r="L31" s="38">
        <f t="shared" ref="L31:U31" si="12">L30-L27</f>
        <v>310666.66666666669</v>
      </c>
      <c r="M31" s="38">
        <f t="shared" si="12"/>
        <v>310666.66666666669</v>
      </c>
      <c r="N31" s="38">
        <f t="shared" si="12"/>
        <v>310666.66666666669</v>
      </c>
      <c r="O31" s="38">
        <f t="shared" si="12"/>
        <v>310666.66666666669</v>
      </c>
      <c r="P31" s="38">
        <f t="shared" si="12"/>
        <v>310666.66666666669</v>
      </c>
      <c r="Q31" s="38">
        <f t="shared" si="12"/>
        <v>310666.66666666669</v>
      </c>
      <c r="R31" s="38">
        <f t="shared" si="12"/>
        <v>310666.66666666669</v>
      </c>
      <c r="S31" s="38">
        <f t="shared" si="12"/>
        <v>310666.66666666669</v>
      </c>
      <c r="T31" s="38">
        <f t="shared" si="12"/>
        <v>310666.66666666669</v>
      </c>
      <c r="U31" s="38">
        <f t="shared" si="12"/>
        <v>310666.66666666669</v>
      </c>
    </row>
    <row r="32" spans="1:22" x14ac:dyDescent="0.25">
      <c r="A32" s="1"/>
      <c r="B32" s="116" t="s">
        <v>35</v>
      </c>
      <c r="C32" s="117"/>
      <c r="D32" s="117"/>
      <c r="E32" s="117"/>
      <c r="F32" s="118"/>
      <c r="G32" s="52">
        <f>IRR(G31:U31)</f>
        <v>0.24516552854197604</v>
      </c>
      <c r="H32" s="53"/>
      <c r="I32" s="53"/>
      <c r="J32" s="53"/>
      <c r="K32" s="53"/>
      <c r="L32" s="53"/>
      <c r="M32" s="53"/>
      <c r="N32" s="53"/>
      <c r="O32" s="53"/>
      <c r="P32" s="53"/>
    </row>
    <row r="33" spans="1:21" x14ac:dyDescent="0.25">
      <c r="A33" s="1"/>
      <c r="B33" s="116" t="s">
        <v>36</v>
      </c>
      <c r="C33" s="117"/>
      <c r="D33" s="117"/>
      <c r="E33" s="117"/>
      <c r="F33" s="118"/>
      <c r="G33" s="54">
        <f>NPV(0.1,G31:U31)</f>
        <v>982046.27571737301</v>
      </c>
      <c r="H33" s="53"/>
      <c r="I33" s="53"/>
      <c r="J33" s="53"/>
      <c r="K33" s="53"/>
      <c r="L33" s="53"/>
      <c r="M33" s="53"/>
      <c r="N33" s="53"/>
      <c r="O33" s="53"/>
      <c r="P33" s="53"/>
    </row>
    <row r="34" spans="1:21" x14ac:dyDescent="0.25">
      <c r="A34" s="1"/>
      <c r="B34" s="111"/>
      <c r="C34" s="111"/>
      <c r="D34" s="111"/>
      <c r="E34" s="111"/>
      <c r="F34" s="111"/>
      <c r="G34" s="55"/>
      <c r="H34" s="56"/>
      <c r="I34" s="56"/>
      <c r="J34" s="56"/>
      <c r="K34" s="56"/>
      <c r="L34" s="56"/>
      <c r="M34" s="56"/>
      <c r="N34" s="56"/>
      <c r="O34" s="56"/>
      <c r="P34" s="56"/>
    </row>
    <row r="35" spans="1:21" x14ac:dyDescent="0.25">
      <c r="A35" s="1"/>
      <c r="B35" s="111"/>
      <c r="C35" s="112"/>
      <c r="D35" s="112"/>
      <c r="E35" s="112"/>
      <c r="F35" s="112"/>
      <c r="G35" s="57"/>
      <c r="H35" s="56"/>
      <c r="I35" s="56"/>
      <c r="J35" s="56"/>
      <c r="K35" s="56"/>
      <c r="L35" s="56"/>
      <c r="M35" s="56"/>
      <c r="N35" s="56"/>
      <c r="O35" s="56"/>
      <c r="P35" s="56"/>
    </row>
    <row r="36" spans="1:21" x14ac:dyDescent="0.25">
      <c r="A36" s="1"/>
      <c r="B36" s="111"/>
      <c r="C36" s="112"/>
      <c r="D36" s="112"/>
      <c r="E36" s="112"/>
      <c r="F36" s="112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</row>
    <row r="37" spans="1:21" x14ac:dyDescent="0.25">
      <c r="A37" s="1"/>
      <c r="B37" s="109"/>
      <c r="C37" s="110"/>
      <c r="D37" s="110"/>
      <c r="E37" s="110"/>
      <c r="F37" s="110"/>
      <c r="G37" s="52"/>
      <c r="H37" s="56"/>
      <c r="I37" s="56"/>
      <c r="J37" s="56"/>
      <c r="K37" s="56"/>
      <c r="L37" s="56"/>
      <c r="M37" s="56"/>
      <c r="N37" s="56"/>
      <c r="O37" s="56"/>
      <c r="P37" s="56"/>
    </row>
    <row r="38" spans="1:21" x14ac:dyDescent="0.25">
      <c r="A38" s="1"/>
      <c r="B38" s="109"/>
      <c r="C38" s="110"/>
      <c r="D38" s="110"/>
      <c r="E38" s="110"/>
      <c r="F38" s="110"/>
      <c r="G38" s="54"/>
      <c r="H38" s="56"/>
      <c r="I38" s="56"/>
      <c r="J38" s="56"/>
      <c r="K38" s="56"/>
      <c r="L38" s="56"/>
      <c r="M38" s="56"/>
      <c r="N38" s="56"/>
      <c r="O38" s="56"/>
      <c r="P38" s="56"/>
    </row>
    <row r="39" spans="1:21" x14ac:dyDescent="0.25">
      <c r="A39" s="1"/>
      <c r="B39" s="49"/>
      <c r="C39" s="50"/>
      <c r="D39" s="50"/>
      <c r="E39" s="50"/>
      <c r="F39" s="51"/>
      <c r="G39" s="54"/>
      <c r="H39" s="53"/>
      <c r="I39" s="53"/>
      <c r="J39" s="53"/>
      <c r="K39" s="53"/>
      <c r="L39" s="53"/>
      <c r="M39" s="53"/>
      <c r="N39" s="53"/>
      <c r="O39" s="53"/>
      <c r="P39" s="53"/>
    </row>
    <row r="40" spans="1:21" x14ac:dyDescent="0.25">
      <c r="A40" s="35"/>
      <c r="B40" s="35"/>
      <c r="C40" s="3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</row>
    <row r="41" spans="1:21" x14ac:dyDescent="0.25">
      <c r="A41" s="35"/>
      <c r="B41" s="113" t="s">
        <v>37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</row>
    <row r="42" spans="1:21" x14ac:dyDescent="0.25">
      <c r="A42" s="35"/>
      <c r="B42" s="36"/>
      <c r="C42" s="37" t="s">
        <v>14</v>
      </c>
      <c r="D42" s="38" t="s">
        <v>15</v>
      </c>
      <c r="E42" s="38" t="s">
        <v>16</v>
      </c>
      <c r="F42" s="38" t="s">
        <v>17</v>
      </c>
      <c r="G42" s="114" t="s">
        <v>18</v>
      </c>
      <c r="H42" s="115"/>
      <c r="I42" s="115"/>
      <c r="J42" s="115"/>
      <c r="K42" s="115"/>
      <c r="L42" s="115"/>
      <c r="M42" s="115"/>
      <c r="N42" s="115"/>
      <c r="O42" s="115"/>
      <c r="P42" s="115"/>
    </row>
    <row r="43" spans="1:21" x14ac:dyDescent="0.25">
      <c r="A43" s="35"/>
      <c r="B43" s="37" t="s">
        <v>19</v>
      </c>
      <c r="C43" s="36"/>
      <c r="D43" s="39"/>
      <c r="E43" s="39"/>
      <c r="F43" s="39"/>
      <c r="G43" s="39">
        <v>1</v>
      </c>
      <c r="H43" s="39">
        <f t="shared" ref="H43:P43" si="13">G43+1</f>
        <v>2</v>
      </c>
      <c r="I43" s="39">
        <f t="shared" si="13"/>
        <v>3</v>
      </c>
      <c r="J43" s="39">
        <f t="shared" si="13"/>
        <v>4</v>
      </c>
      <c r="K43" s="39">
        <f t="shared" si="13"/>
        <v>5</v>
      </c>
      <c r="L43" s="39">
        <f t="shared" si="13"/>
        <v>6</v>
      </c>
      <c r="M43" s="39">
        <f t="shared" si="13"/>
        <v>7</v>
      </c>
      <c r="N43" s="39">
        <f t="shared" si="13"/>
        <v>8</v>
      </c>
      <c r="O43" s="39">
        <f t="shared" si="13"/>
        <v>9</v>
      </c>
      <c r="P43" s="39">
        <f t="shared" si="13"/>
        <v>10</v>
      </c>
      <c r="Q43">
        <v>11</v>
      </c>
      <c r="R43">
        <v>12</v>
      </c>
      <c r="S43">
        <v>13</v>
      </c>
      <c r="T43">
        <v>14</v>
      </c>
      <c r="U43">
        <v>15</v>
      </c>
    </row>
    <row r="44" spans="1:21" ht="35.25" customHeight="1" x14ac:dyDescent="0.25">
      <c r="A44" s="35"/>
      <c r="B44" s="60" t="s">
        <v>112</v>
      </c>
      <c r="C44" s="36" t="s">
        <v>25</v>
      </c>
      <c r="D44" s="39"/>
      <c r="E44" s="39"/>
      <c r="F44" s="39">
        <f>F4*0.9</f>
        <v>405000</v>
      </c>
      <c r="G44" s="39">
        <f>F44*0.5</f>
        <v>202500</v>
      </c>
      <c r="H44" s="39">
        <f>F44</f>
        <v>405000</v>
      </c>
      <c r="I44" s="39">
        <f>F44</f>
        <v>405000</v>
      </c>
      <c r="J44" s="39">
        <f>F44</f>
        <v>405000</v>
      </c>
      <c r="K44" s="39">
        <f t="shared" ref="K44:U45" si="14">J44</f>
        <v>405000</v>
      </c>
      <c r="L44" s="39">
        <f t="shared" si="14"/>
        <v>405000</v>
      </c>
      <c r="M44" s="39">
        <f t="shared" si="14"/>
        <v>405000</v>
      </c>
      <c r="N44" s="39">
        <f t="shared" si="14"/>
        <v>405000</v>
      </c>
      <c r="O44" s="39">
        <f t="shared" si="14"/>
        <v>405000</v>
      </c>
      <c r="P44" s="39">
        <f t="shared" si="14"/>
        <v>405000</v>
      </c>
      <c r="Q44" s="39">
        <f t="shared" si="14"/>
        <v>405000</v>
      </c>
      <c r="R44" s="39">
        <f t="shared" si="14"/>
        <v>405000</v>
      </c>
      <c r="S44" s="39">
        <f t="shared" si="14"/>
        <v>405000</v>
      </c>
      <c r="T44" s="39">
        <f t="shared" si="14"/>
        <v>405000</v>
      </c>
      <c r="U44" s="39">
        <f t="shared" si="14"/>
        <v>405000</v>
      </c>
    </row>
    <row r="45" spans="1:21" x14ac:dyDescent="0.25">
      <c r="A45" s="35"/>
      <c r="B45" s="61" t="s">
        <v>113</v>
      </c>
      <c r="C45" s="36" t="s">
        <v>25</v>
      </c>
      <c r="D45" s="39"/>
      <c r="E45" s="39"/>
      <c r="F45" s="39">
        <f>F5*0.9</f>
        <v>21600</v>
      </c>
      <c r="G45" s="39"/>
      <c r="H45" s="39">
        <f>F45</f>
        <v>21600</v>
      </c>
      <c r="I45" s="39">
        <f>H45</f>
        <v>21600</v>
      </c>
      <c r="J45" s="39">
        <f>I45</f>
        <v>21600</v>
      </c>
      <c r="K45" s="39">
        <f t="shared" si="14"/>
        <v>21600</v>
      </c>
      <c r="L45" s="39">
        <f t="shared" si="14"/>
        <v>21600</v>
      </c>
      <c r="M45" s="39">
        <f t="shared" si="14"/>
        <v>21600</v>
      </c>
      <c r="N45" s="39">
        <f t="shared" si="14"/>
        <v>21600</v>
      </c>
      <c r="O45" s="39">
        <f t="shared" si="14"/>
        <v>21600</v>
      </c>
      <c r="P45" s="39">
        <f t="shared" si="14"/>
        <v>21600</v>
      </c>
      <c r="Q45" s="39">
        <f t="shared" si="14"/>
        <v>21600</v>
      </c>
      <c r="R45" s="39">
        <f t="shared" si="14"/>
        <v>21600</v>
      </c>
      <c r="S45" s="39">
        <f t="shared" si="14"/>
        <v>21600</v>
      </c>
      <c r="T45" s="39">
        <f t="shared" si="14"/>
        <v>21600</v>
      </c>
      <c r="U45" s="39">
        <f t="shared" si="14"/>
        <v>21600</v>
      </c>
    </row>
    <row r="46" spans="1:21" x14ac:dyDescent="0.25">
      <c r="A46" s="35"/>
      <c r="B46" s="61"/>
      <c r="C46" s="36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</row>
    <row r="47" spans="1:21" x14ac:dyDescent="0.25">
      <c r="A47" s="35"/>
      <c r="B47" s="37" t="s">
        <v>21</v>
      </c>
      <c r="C47" s="36"/>
      <c r="D47" s="39">
        <f t="shared" ref="D47:D55" si="15">D6</f>
        <v>0</v>
      </c>
      <c r="E47" s="39">
        <f t="shared" ref="E47:E55" si="16">E6*0.9</f>
        <v>0</v>
      </c>
      <c r="F47" s="38">
        <f>SUM(F44:F46)</f>
        <v>426600</v>
      </c>
      <c r="G47" s="38">
        <f t="shared" ref="G47:U47" si="17">SUM(G44:G46)</f>
        <v>202500</v>
      </c>
      <c r="H47" s="38">
        <f t="shared" si="17"/>
        <v>426600</v>
      </c>
      <c r="I47" s="38">
        <f t="shared" si="17"/>
        <v>426600</v>
      </c>
      <c r="J47" s="38">
        <f t="shared" si="17"/>
        <v>426600</v>
      </c>
      <c r="K47" s="38">
        <f t="shared" si="17"/>
        <v>426600</v>
      </c>
      <c r="L47" s="38">
        <f t="shared" si="17"/>
        <v>426600</v>
      </c>
      <c r="M47" s="38">
        <f t="shared" si="17"/>
        <v>426600</v>
      </c>
      <c r="N47" s="38">
        <f t="shared" si="17"/>
        <v>426600</v>
      </c>
      <c r="O47" s="38">
        <f t="shared" si="17"/>
        <v>426600</v>
      </c>
      <c r="P47" s="38">
        <f t="shared" si="17"/>
        <v>426600</v>
      </c>
      <c r="Q47" s="38">
        <f t="shared" si="17"/>
        <v>426600</v>
      </c>
      <c r="R47" s="38">
        <f t="shared" si="17"/>
        <v>426600</v>
      </c>
      <c r="S47" s="38">
        <f t="shared" si="17"/>
        <v>426600</v>
      </c>
      <c r="T47" s="38">
        <f t="shared" si="17"/>
        <v>426600</v>
      </c>
      <c r="U47" s="38">
        <f t="shared" si="17"/>
        <v>426600</v>
      </c>
    </row>
    <row r="48" spans="1:21" x14ac:dyDescent="0.25">
      <c r="A48" s="35"/>
      <c r="B48" s="36"/>
      <c r="C48" s="36"/>
      <c r="D48" s="39">
        <f t="shared" si="15"/>
        <v>0</v>
      </c>
      <c r="E48" s="39">
        <f t="shared" si="16"/>
        <v>0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22" x14ac:dyDescent="0.25">
      <c r="A49" s="35"/>
      <c r="B49" s="42" t="s">
        <v>110</v>
      </c>
      <c r="C49" s="36"/>
      <c r="D49" s="39">
        <f t="shared" si="15"/>
        <v>0</v>
      </c>
      <c r="E49" s="39">
        <f t="shared" si="16"/>
        <v>0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22" x14ac:dyDescent="0.25">
      <c r="A50" s="35"/>
      <c r="B50" s="37" t="s">
        <v>23</v>
      </c>
      <c r="C50" s="36"/>
      <c r="D50" s="39">
        <f t="shared" si="15"/>
        <v>0</v>
      </c>
      <c r="E50" s="39">
        <f t="shared" si="16"/>
        <v>0</v>
      </c>
      <c r="F50" s="43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22" x14ac:dyDescent="0.25">
      <c r="A51" s="35"/>
      <c r="B51" s="62" t="s">
        <v>43</v>
      </c>
      <c r="C51" s="36" t="s">
        <v>24</v>
      </c>
      <c r="D51" s="39">
        <f t="shared" si="15"/>
        <v>1</v>
      </c>
      <c r="E51" s="39">
        <f t="shared" si="16"/>
        <v>720000</v>
      </c>
      <c r="F51" s="39">
        <f>D51*E51</f>
        <v>720000</v>
      </c>
      <c r="G51" s="39">
        <f>D51*E51</f>
        <v>720000</v>
      </c>
      <c r="H51" s="39">
        <v>0</v>
      </c>
      <c r="I51" s="39">
        <v>0</v>
      </c>
      <c r="J51" s="39">
        <v>0</v>
      </c>
      <c r="K51" s="39"/>
      <c r="L51" s="39"/>
      <c r="M51" s="39"/>
      <c r="N51" s="39"/>
      <c r="O51" s="39"/>
      <c r="P51" s="39">
        <f>K51</f>
        <v>0</v>
      </c>
    </row>
    <row r="52" spans="1:22" x14ac:dyDescent="0.25">
      <c r="A52" s="35"/>
      <c r="B52" s="62" t="s">
        <v>114</v>
      </c>
      <c r="C52" s="36" t="s">
        <v>25</v>
      </c>
      <c r="D52" s="39">
        <f t="shared" si="15"/>
        <v>1</v>
      </c>
      <c r="E52" s="39">
        <f t="shared" si="16"/>
        <v>270000</v>
      </c>
      <c r="F52" s="39">
        <f t="shared" ref="F52" si="18">D52*E52</f>
        <v>270000</v>
      </c>
      <c r="G52" s="39">
        <f>D52*E52</f>
        <v>270000</v>
      </c>
      <c r="H52" s="39">
        <v>0</v>
      </c>
      <c r="I52" s="39">
        <v>0</v>
      </c>
      <c r="J52" s="39">
        <v>0</v>
      </c>
      <c r="K52" s="39">
        <v>0</v>
      </c>
      <c r="L52" s="39"/>
      <c r="M52" s="39"/>
      <c r="N52" s="39"/>
      <c r="O52" s="39"/>
      <c r="P52" s="39"/>
    </row>
    <row r="53" spans="1:22" x14ac:dyDescent="0.25">
      <c r="A53" s="35"/>
      <c r="B53" s="37" t="s">
        <v>26</v>
      </c>
      <c r="C53" s="36"/>
      <c r="D53" s="39">
        <f t="shared" si="15"/>
        <v>0</v>
      </c>
      <c r="E53" s="39">
        <f t="shared" si="16"/>
        <v>0</v>
      </c>
      <c r="F53" s="38">
        <f t="shared" ref="F53:U53" si="19">SUM(F51:F52)</f>
        <v>990000</v>
      </c>
      <c r="G53" s="38">
        <f t="shared" si="19"/>
        <v>990000</v>
      </c>
      <c r="H53" s="38">
        <f t="shared" si="19"/>
        <v>0</v>
      </c>
      <c r="I53" s="38">
        <f t="shared" si="19"/>
        <v>0</v>
      </c>
      <c r="J53" s="38">
        <f t="shared" si="19"/>
        <v>0</v>
      </c>
      <c r="K53" s="38">
        <f t="shared" si="19"/>
        <v>0</v>
      </c>
      <c r="L53" s="38">
        <f t="shared" si="19"/>
        <v>0</v>
      </c>
      <c r="M53" s="38">
        <f t="shared" si="19"/>
        <v>0</v>
      </c>
      <c r="N53" s="38">
        <f t="shared" si="19"/>
        <v>0</v>
      </c>
      <c r="O53" s="38">
        <f t="shared" si="19"/>
        <v>0</v>
      </c>
      <c r="P53" s="38">
        <f t="shared" si="19"/>
        <v>0</v>
      </c>
      <c r="Q53" s="38">
        <f t="shared" si="19"/>
        <v>0</v>
      </c>
      <c r="R53" s="38">
        <f t="shared" si="19"/>
        <v>0</v>
      </c>
      <c r="S53" s="38">
        <f t="shared" si="19"/>
        <v>0</v>
      </c>
      <c r="T53" s="38">
        <f t="shared" si="19"/>
        <v>0</v>
      </c>
      <c r="U53" s="38">
        <f t="shared" si="19"/>
        <v>0</v>
      </c>
    </row>
    <row r="54" spans="1:22" x14ac:dyDescent="0.25">
      <c r="A54" s="35"/>
      <c r="B54" s="36"/>
      <c r="C54" s="36"/>
      <c r="D54" s="39">
        <f t="shared" si="15"/>
        <v>0</v>
      </c>
      <c r="E54" s="39">
        <f t="shared" si="16"/>
        <v>0</v>
      </c>
      <c r="F54" s="39">
        <f t="shared" ref="F54:F55" si="20">D54*E54</f>
        <v>0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22" x14ac:dyDescent="0.25">
      <c r="A55" s="35"/>
      <c r="B55" s="37" t="s">
        <v>115</v>
      </c>
      <c r="C55" s="36"/>
      <c r="D55" s="39">
        <f t="shared" si="15"/>
        <v>0</v>
      </c>
      <c r="E55" s="39">
        <f t="shared" si="16"/>
        <v>0</v>
      </c>
      <c r="F55" s="39">
        <f t="shared" si="20"/>
        <v>0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22" ht="60" x14ac:dyDescent="0.25">
      <c r="A56" s="35"/>
      <c r="B56" s="99" t="s">
        <v>210</v>
      </c>
      <c r="C56" s="36" t="s">
        <v>166</v>
      </c>
      <c r="D56" s="39"/>
      <c r="E56" s="39"/>
      <c r="F56" s="39">
        <f>F15</f>
        <v>110000</v>
      </c>
      <c r="G56" s="39">
        <f>F56*0.5</f>
        <v>55000</v>
      </c>
      <c r="H56" s="39">
        <f>F56</f>
        <v>110000</v>
      </c>
      <c r="I56" s="39">
        <f t="shared" ref="I56:U61" si="21">H56</f>
        <v>110000</v>
      </c>
      <c r="J56" s="39">
        <f t="shared" si="21"/>
        <v>110000</v>
      </c>
      <c r="K56" s="39">
        <f t="shared" si="21"/>
        <v>110000</v>
      </c>
      <c r="L56" s="39">
        <f t="shared" si="21"/>
        <v>110000</v>
      </c>
      <c r="M56" s="39">
        <f t="shared" si="21"/>
        <v>110000</v>
      </c>
      <c r="N56" s="39">
        <f t="shared" si="21"/>
        <v>110000</v>
      </c>
      <c r="O56" s="39">
        <f t="shared" si="21"/>
        <v>110000</v>
      </c>
      <c r="P56" s="39">
        <f t="shared" si="21"/>
        <v>110000</v>
      </c>
      <c r="Q56" s="39">
        <f t="shared" si="21"/>
        <v>110000</v>
      </c>
      <c r="R56" s="39">
        <f t="shared" si="21"/>
        <v>110000</v>
      </c>
      <c r="S56" s="39">
        <f t="shared" si="21"/>
        <v>110000</v>
      </c>
      <c r="T56" s="39">
        <f t="shared" si="21"/>
        <v>110000</v>
      </c>
      <c r="U56" s="39">
        <f t="shared" si="21"/>
        <v>110000</v>
      </c>
    </row>
    <row r="57" spans="1:22" x14ac:dyDescent="0.25">
      <c r="A57" s="35"/>
      <c r="B57" s="99"/>
      <c r="C57" s="36"/>
      <c r="D57" s="39"/>
      <c r="E57" s="39"/>
      <c r="F57" s="39">
        <f>F16*0.9</f>
        <v>0</v>
      </c>
      <c r="G57" s="39"/>
      <c r="H57" s="39">
        <f>F57</f>
        <v>0</v>
      </c>
      <c r="I57" s="39">
        <f t="shared" si="21"/>
        <v>0</v>
      </c>
      <c r="J57" s="39">
        <f t="shared" si="21"/>
        <v>0</v>
      </c>
      <c r="K57" s="39">
        <f t="shared" si="21"/>
        <v>0</v>
      </c>
      <c r="L57" s="39">
        <f t="shared" si="21"/>
        <v>0</v>
      </c>
      <c r="M57" s="39">
        <f t="shared" si="21"/>
        <v>0</v>
      </c>
      <c r="N57" s="39">
        <f t="shared" si="21"/>
        <v>0</v>
      </c>
      <c r="O57" s="39">
        <f t="shared" si="21"/>
        <v>0</v>
      </c>
      <c r="P57" s="39">
        <f t="shared" si="21"/>
        <v>0</v>
      </c>
      <c r="Q57" s="39">
        <f t="shared" si="21"/>
        <v>0</v>
      </c>
      <c r="R57" s="39">
        <f t="shared" si="21"/>
        <v>0</v>
      </c>
      <c r="S57" s="39">
        <f t="shared" si="21"/>
        <v>0</v>
      </c>
      <c r="T57" s="39">
        <f t="shared" si="21"/>
        <v>0</v>
      </c>
      <c r="U57" s="39">
        <f t="shared" si="21"/>
        <v>0</v>
      </c>
      <c r="V57" s="45"/>
    </row>
    <row r="58" spans="1:22" x14ac:dyDescent="0.25">
      <c r="A58" s="35"/>
      <c r="B58" s="99"/>
      <c r="C58" s="36"/>
      <c r="D58" s="39"/>
      <c r="E58" s="39"/>
      <c r="F58" s="39">
        <f>F17*0.9</f>
        <v>0</v>
      </c>
      <c r="G58" s="39">
        <f>F58*0.75</f>
        <v>0</v>
      </c>
      <c r="H58" s="39">
        <f>F58</f>
        <v>0</v>
      </c>
      <c r="I58" s="39">
        <f t="shared" si="21"/>
        <v>0</v>
      </c>
      <c r="J58" s="39">
        <f t="shared" si="21"/>
        <v>0</v>
      </c>
      <c r="K58" s="39">
        <f t="shared" si="21"/>
        <v>0</v>
      </c>
      <c r="L58" s="39">
        <f t="shared" si="21"/>
        <v>0</v>
      </c>
      <c r="M58" s="39">
        <f t="shared" si="21"/>
        <v>0</v>
      </c>
      <c r="N58" s="39">
        <f t="shared" si="21"/>
        <v>0</v>
      </c>
      <c r="O58" s="39">
        <f t="shared" si="21"/>
        <v>0</v>
      </c>
      <c r="P58" s="39">
        <f t="shared" si="21"/>
        <v>0</v>
      </c>
      <c r="Q58" s="39">
        <f t="shared" si="21"/>
        <v>0</v>
      </c>
      <c r="R58" s="39">
        <f t="shared" si="21"/>
        <v>0</v>
      </c>
      <c r="S58" s="39">
        <f t="shared" si="21"/>
        <v>0</v>
      </c>
      <c r="T58" s="39">
        <f t="shared" si="21"/>
        <v>0</v>
      </c>
      <c r="U58" s="39">
        <f t="shared" si="21"/>
        <v>0</v>
      </c>
      <c r="V58" s="45"/>
    </row>
    <row r="59" spans="1:22" x14ac:dyDescent="0.25">
      <c r="A59" s="35"/>
      <c r="B59" s="99"/>
      <c r="C59" s="36"/>
      <c r="D59" s="39"/>
      <c r="E59" s="39"/>
      <c r="F59" s="39">
        <f>F18*0.9</f>
        <v>0</v>
      </c>
      <c r="G59" s="39">
        <f>F59</f>
        <v>0</v>
      </c>
      <c r="H59" s="39">
        <f>F59</f>
        <v>0</v>
      </c>
      <c r="I59" s="39">
        <f>F59</f>
        <v>0</v>
      </c>
      <c r="J59" s="39">
        <f>F59</f>
        <v>0</v>
      </c>
      <c r="K59" s="39">
        <f>J59</f>
        <v>0</v>
      </c>
      <c r="L59" s="39">
        <f t="shared" si="21"/>
        <v>0</v>
      </c>
      <c r="M59" s="39">
        <f t="shared" si="21"/>
        <v>0</v>
      </c>
      <c r="N59" s="39">
        <f t="shared" si="21"/>
        <v>0</v>
      </c>
      <c r="O59" s="39">
        <f t="shared" si="21"/>
        <v>0</v>
      </c>
      <c r="P59" s="39">
        <f t="shared" si="21"/>
        <v>0</v>
      </c>
      <c r="Q59" s="39">
        <f t="shared" si="21"/>
        <v>0</v>
      </c>
      <c r="R59" s="39">
        <f t="shared" si="21"/>
        <v>0</v>
      </c>
      <c r="S59" s="39">
        <f t="shared" si="21"/>
        <v>0</v>
      </c>
      <c r="T59" s="39">
        <f t="shared" si="21"/>
        <v>0</v>
      </c>
      <c r="U59" s="39">
        <f t="shared" si="21"/>
        <v>0</v>
      </c>
    </row>
    <row r="60" spans="1:22" x14ac:dyDescent="0.25">
      <c r="A60" s="35"/>
      <c r="B60" s="99"/>
      <c r="C60" s="36"/>
      <c r="D60" s="39"/>
      <c r="E60" s="39"/>
      <c r="F60" s="39">
        <f t="shared" ref="F60" si="22">F20*0.9</f>
        <v>0</v>
      </c>
      <c r="G60" s="39">
        <f>F60</f>
        <v>0</v>
      </c>
      <c r="H60" s="39">
        <f t="shared" ref="H60:H61" si="23">F60</f>
        <v>0</v>
      </c>
      <c r="I60" s="39">
        <f t="shared" ref="I60:I61" si="24">F60</f>
        <v>0</v>
      </c>
      <c r="J60" s="39">
        <f t="shared" ref="J60:J61" si="25">F60</f>
        <v>0</v>
      </c>
      <c r="K60" s="39">
        <f>J60</f>
        <v>0</v>
      </c>
      <c r="L60" s="39">
        <f t="shared" si="21"/>
        <v>0</v>
      </c>
      <c r="M60" s="39">
        <f t="shared" si="21"/>
        <v>0</v>
      </c>
      <c r="N60" s="39">
        <f t="shared" si="21"/>
        <v>0</v>
      </c>
      <c r="O60" s="39">
        <f t="shared" si="21"/>
        <v>0</v>
      </c>
      <c r="P60" s="39">
        <f t="shared" si="21"/>
        <v>0</v>
      </c>
      <c r="Q60" s="39">
        <f t="shared" si="21"/>
        <v>0</v>
      </c>
      <c r="R60" s="39">
        <f t="shared" si="21"/>
        <v>0</v>
      </c>
      <c r="S60" s="39">
        <f t="shared" si="21"/>
        <v>0</v>
      </c>
      <c r="T60" s="39">
        <f t="shared" si="21"/>
        <v>0</v>
      </c>
      <c r="U60" s="39">
        <f t="shared" si="21"/>
        <v>0</v>
      </c>
    </row>
    <row r="61" spans="1:22" x14ac:dyDescent="0.25">
      <c r="A61" s="35"/>
      <c r="B61" s="44"/>
      <c r="C61" s="36"/>
      <c r="D61" s="39"/>
      <c r="E61" s="39"/>
      <c r="F61" s="39">
        <f>F21*0.8</f>
        <v>0</v>
      </c>
      <c r="G61" s="39">
        <f>F61</f>
        <v>0</v>
      </c>
      <c r="H61" s="39">
        <f t="shared" si="23"/>
        <v>0</v>
      </c>
      <c r="I61" s="39">
        <f t="shared" si="24"/>
        <v>0</v>
      </c>
      <c r="J61" s="39">
        <f t="shared" si="25"/>
        <v>0</v>
      </c>
      <c r="K61" s="39">
        <f>J61</f>
        <v>0</v>
      </c>
      <c r="L61" s="39">
        <f t="shared" si="21"/>
        <v>0</v>
      </c>
      <c r="M61" s="39">
        <f t="shared" si="21"/>
        <v>0</v>
      </c>
      <c r="N61" s="39">
        <f t="shared" si="21"/>
        <v>0</v>
      </c>
      <c r="O61" s="39">
        <f t="shared" si="21"/>
        <v>0</v>
      </c>
      <c r="P61" s="39">
        <f t="shared" si="21"/>
        <v>0</v>
      </c>
      <c r="Q61" s="39">
        <f t="shared" si="21"/>
        <v>0</v>
      </c>
      <c r="R61" s="39">
        <f t="shared" si="21"/>
        <v>0</v>
      </c>
      <c r="S61" s="39">
        <f t="shared" si="21"/>
        <v>0</v>
      </c>
      <c r="T61" s="39">
        <f t="shared" si="21"/>
        <v>0</v>
      </c>
      <c r="U61" s="39">
        <f t="shared" si="21"/>
        <v>0</v>
      </c>
    </row>
    <row r="62" spans="1:22" x14ac:dyDescent="0.25">
      <c r="A62" s="35"/>
      <c r="B62" s="37" t="s">
        <v>28</v>
      </c>
      <c r="C62" s="36"/>
      <c r="D62" s="39">
        <f>D23</f>
        <v>0</v>
      </c>
      <c r="E62" s="39"/>
      <c r="F62" s="38">
        <f>F56</f>
        <v>110000</v>
      </c>
      <c r="G62" s="38">
        <f t="shared" ref="G62:U62" si="26">G56</f>
        <v>55000</v>
      </c>
      <c r="H62" s="38">
        <f t="shared" si="26"/>
        <v>110000</v>
      </c>
      <c r="I62" s="38">
        <f t="shared" si="26"/>
        <v>110000</v>
      </c>
      <c r="J62" s="38">
        <f t="shared" si="26"/>
        <v>110000</v>
      </c>
      <c r="K62" s="38">
        <f t="shared" si="26"/>
        <v>110000</v>
      </c>
      <c r="L62" s="38">
        <f t="shared" si="26"/>
        <v>110000</v>
      </c>
      <c r="M62" s="38">
        <f t="shared" si="26"/>
        <v>110000</v>
      </c>
      <c r="N62" s="38">
        <f t="shared" si="26"/>
        <v>110000</v>
      </c>
      <c r="O62" s="38">
        <f t="shared" si="26"/>
        <v>110000</v>
      </c>
      <c r="P62" s="38">
        <f t="shared" si="26"/>
        <v>110000</v>
      </c>
      <c r="Q62" s="38">
        <f t="shared" si="26"/>
        <v>110000</v>
      </c>
      <c r="R62" s="38">
        <f t="shared" si="26"/>
        <v>110000</v>
      </c>
      <c r="S62" s="38">
        <f t="shared" si="26"/>
        <v>110000</v>
      </c>
      <c r="T62" s="38">
        <f t="shared" si="26"/>
        <v>110000</v>
      </c>
      <c r="U62" s="38">
        <f t="shared" si="26"/>
        <v>110000</v>
      </c>
    </row>
    <row r="63" spans="1:22" x14ac:dyDescent="0.25">
      <c r="A63" s="35"/>
      <c r="B63" s="46"/>
      <c r="C63" s="36"/>
      <c r="D63" s="39">
        <f>D24</f>
        <v>0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22" x14ac:dyDescent="0.25">
      <c r="A64" s="35"/>
      <c r="B64" s="37" t="s">
        <v>29</v>
      </c>
      <c r="C64" s="36"/>
      <c r="D64" s="39">
        <f>D25</f>
        <v>0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22" x14ac:dyDescent="0.25">
      <c r="A65" s="35"/>
      <c r="B65" s="36" t="s">
        <v>30</v>
      </c>
      <c r="C65" s="36" t="s">
        <v>207</v>
      </c>
      <c r="D65" s="39">
        <f>D26</f>
        <v>1</v>
      </c>
      <c r="E65" s="39"/>
      <c r="F65" s="39">
        <f>D65*E65</f>
        <v>0</v>
      </c>
      <c r="G65" s="39">
        <v>0</v>
      </c>
      <c r="H65" s="39">
        <f>D65*E65</f>
        <v>0</v>
      </c>
      <c r="I65" s="39">
        <f t="shared" ref="I65:U65" si="27">H65</f>
        <v>0</v>
      </c>
      <c r="J65" s="39">
        <f t="shared" si="27"/>
        <v>0</v>
      </c>
      <c r="K65" s="39">
        <f t="shared" si="27"/>
        <v>0</v>
      </c>
      <c r="L65" s="39">
        <f t="shared" si="27"/>
        <v>0</v>
      </c>
      <c r="M65" s="39">
        <f t="shared" si="27"/>
        <v>0</v>
      </c>
      <c r="N65" s="39">
        <f t="shared" si="27"/>
        <v>0</v>
      </c>
      <c r="O65" s="39">
        <f t="shared" si="27"/>
        <v>0</v>
      </c>
      <c r="P65" s="39">
        <f t="shared" si="27"/>
        <v>0</v>
      </c>
      <c r="Q65" s="39">
        <f t="shared" si="27"/>
        <v>0</v>
      </c>
      <c r="R65" s="39">
        <f t="shared" si="27"/>
        <v>0</v>
      </c>
      <c r="S65" s="39">
        <f t="shared" si="27"/>
        <v>0</v>
      </c>
      <c r="T65" s="39">
        <f t="shared" si="27"/>
        <v>0</v>
      </c>
      <c r="U65" s="39">
        <f t="shared" si="27"/>
        <v>0</v>
      </c>
      <c r="V65" s="47">
        <f>SUM(H65:U65)</f>
        <v>0</v>
      </c>
    </row>
    <row r="66" spans="1:22" x14ac:dyDescent="0.25">
      <c r="A66" s="35"/>
      <c r="B66" s="37" t="s">
        <v>31</v>
      </c>
      <c r="C66" s="36"/>
      <c r="D66" s="39"/>
      <c r="E66" s="39"/>
      <c r="F66" s="38">
        <f t="shared" ref="F66:U66" si="28">SUM(F65:F65)</f>
        <v>0</v>
      </c>
      <c r="G66" s="38">
        <f t="shared" si="28"/>
        <v>0</v>
      </c>
      <c r="H66" s="38">
        <f t="shared" si="28"/>
        <v>0</v>
      </c>
      <c r="I66" s="38">
        <f t="shared" si="28"/>
        <v>0</v>
      </c>
      <c r="J66" s="38">
        <f t="shared" si="28"/>
        <v>0</v>
      </c>
      <c r="K66" s="38">
        <f t="shared" si="28"/>
        <v>0</v>
      </c>
      <c r="L66" s="38">
        <f t="shared" si="28"/>
        <v>0</v>
      </c>
      <c r="M66" s="38">
        <f t="shared" si="28"/>
        <v>0</v>
      </c>
      <c r="N66" s="38">
        <f t="shared" si="28"/>
        <v>0</v>
      </c>
      <c r="O66" s="38">
        <f t="shared" si="28"/>
        <v>0</v>
      </c>
      <c r="P66" s="38">
        <f t="shared" si="28"/>
        <v>0</v>
      </c>
      <c r="Q66" s="38">
        <f t="shared" si="28"/>
        <v>0</v>
      </c>
      <c r="R66" s="38">
        <f t="shared" si="28"/>
        <v>0</v>
      </c>
      <c r="S66" s="38">
        <f t="shared" si="28"/>
        <v>0</v>
      </c>
      <c r="T66" s="38">
        <f t="shared" si="28"/>
        <v>0</v>
      </c>
      <c r="U66" s="38">
        <f t="shared" si="28"/>
        <v>0</v>
      </c>
    </row>
    <row r="67" spans="1:22" x14ac:dyDescent="0.25">
      <c r="A67" s="35"/>
      <c r="B67" s="37" t="s">
        <v>32</v>
      </c>
      <c r="C67" s="36"/>
      <c r="D67" s="39"/>
      <c r="E67" s="39"/>
      <c r="F67" s="38">
        <f t="shared" ref="F67:U67" si="29">F53+F62+F66</f>
        <v>1100000</v>
      </c>
      <c r="G67" s="38">
        <f t="shared" si="29"/>
        <v>1045000</v>
      </c>
      <c r="H67" s="38">
        <f t="shared" si="29"/>
        <v>110000</v>
      </c>
      <c r="I67" s="38">
        <f t="shared" si="29"/>
        <v>110000</v>
      </c>
      <c r="J67" s="38">
        <f t="shared" si="29"/>
        <v>110000</v>
      </c>
      <c r="K67" s="38">
        <f t="shared" si="29"/>
        <v>110000</v>
      </c>
      <c r="L67" s="38">
        <f t="shared" si="29"/>
        <v>110000</v>
      </c>
      <c r="M67" s="38">
        <f t="shared" si="29"/>
        <v>110000</v>
      </c>
      <c r="N67" s="38">
        <f t="shared" si="29"/>
        <v>110000</v>
      </c>
      <c r="O67" s="38">
        <f t="shared" si="29"/>
        <v>110000</v>
      </c>
      <c r="P67" s="38">
        <f t="shared" si="29"/>
        <v>110000</v>
      </c>
      <c r="Q67" s="38">
        <f t="shared" si="29"/>
        <v>110000</v>
      </c>
      <c r="R67" s="38">
        <f t="shared" si="29"/>
        <v>110000</v>
      </c>
      <c r="S67" s="38">
        <f t="shared" si="29"/>
        <v>110000</v>
      </c>
      <c r="T67" s="38">
        <f t="shared" si="29"/>
        <v>110000</v>
      </c>
      <c r="U67" s="38">
        <f t="shared" si="29"/>
        <v>110000</v>
      </c>
    </row>
    <row r="68" spans="1:22" x14ac:dyDescent="0.25">
      <c r="A68" s="35"/>
      <c r="B68" s="37"/>
      <c r="C68" s="36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22" x14ac:dyDescent="0.25">
      <c r="A69" s="35"/>
      <c r="B69" s="37" t="s">
        <v>33</v>
      </c>
      <c r="C69" s="36" t="s">
        <v>207</v>
      </c>
      <c r="D69" s="39"/>
      <c r="E69" s="39"/>
      <c r="F69" s="39"/>
      <c r="G69" s="38">
        <f t="shared" ref="G69:U69" si="30">G47-G53-G62</f>
        <v>-842500</v>
      </c>
      <c r="H69" s="38">
        <f t="shared" si="30"/>
        <v>316600</v>
      </c>
      <c r="I69" s="38">
        <f t="shared" si="30"/>
        <v>316600</v>
      </c>
      <c r="J69" s="38">
        <f t="shared" si="30"/>
        <v>316600</v>
      </c>
      <c r="K69" s="38">
        <f t="shared" si="30"/>
        <v>316600</v>
      </c>
      <c r="L69" s="38">
        <f t="shared" si="30"/>
        <v>316600</v>
      </c>
      <c r="M69" s="38">
        <f t="shared" si="30"/>
        <v>316600</v>
      </c>
      <c r="N69" s="38">
        <f t="shared" si="30"/>
        <v>316600</v>
      </c>
      <c r="O69" s="38">
        <f t="shared" si="30"/>
        <v>316600</v>
      </c>
      <c r="P69" s="38">
        <f t="shared" si="30"/>
        <v>316600</v>
      </c>
      <c r="Q69" s="38">
        <f t="shared" si="30"/>
        <v>316600</v>
      </c>
      <c r="R69" s="38">
        <f t="shared" si="30"/>
        <v>316600</v>
      </c>
      <c r="S69" s="38">
        <f t="shared" si="30"/>
        <v>316600</v>
      </c>
      <c r="T69" s="38">
        <f t="shared" si="30"/>
        <v>316600</v>
      </c>
      <c r="U69" s="38">
        <f t="shared" si="30"/>
        <v>316600</v>
      </c>
    </row>
    <row r="70" spans="1:22" x14ac:dyDescent="0.25">
      <c r="A70" s="35"/>
      <c r="B70" s="37" t="s">
        <v>34</v>
      </c>
      <c r="C70" s="36" t="s">
        <v>207</v>
      </c>
      <c r="D70" s="39"/>
      <c r="E70" s="39"/>
      <c r="F70" s="39"/>
      <c r="G70" s="38">
        <f>G69-G66</f>
        <v>-842500</v>
      </c>
      <c r="H70" s="38">
        <f>-(H69-H66)</f>
        <v>-316600</v>
      </c>
      <c r="I70" s="38">
        <f>I69-I66</f>
        <v>316600</v>
      </c>
      <c r="J70" s="38">
        <f>J69-J66</f>
        <v>316600</v>
      </c>
      <c r="K70" s="38">
        <f>K69-K66</f>
        <v>316600</v>
      </c>
      <c r="L70" s="38">
        <f t="shared" ref="L70:U70" si="31">L69-L66</f>
        <v>316600</v>
      </c>
      <c r="M70" s="38">
        <f t="shared" si="31"/>
        <v>316600</v>
      </c>
      <c r="N70" s="38">
        <f t="shared" si="31"/>
        <v>316600</v>
      </c>
      <c r="O70" s="38">
        <f t="shared" si="31"/>
        <v>316600</v>
      </c>
      <c r="P70" s="38">
        <f t="shared" si="31"/>
        <v>316600</v>
      </c>
      <c r="Q70" s="38">
        <f t="shared" si="31"/>
        <v>316600</v>
      </c>
      <c r="R70" s="38">
        <f t="shared" si="31"/>
        <v>316600</v>
      </c>
      <c r="S70" s="38">
        <f t="shared" si="31"/>
        <v>316600</v>
      </c>
      <c r="T70" s="38">
        <f t="shared" si="31"/>
        <v>316600</v>
      </c>
      <c r="U70" s="38">
        <f t="shared" si="31"/>
        <v>316600</v>
      </c>
    </row>
    <row r="71" spans="1:22" x14ac:dyDescent="0.25">
      <c r="A71" s="1"/>
      <c r="B71" s="116" t="s">
        <v>38</v>
      </c>
      <c r="C71" s="117"/>
      <c r="D71" s="117"/>
      <c r="E71" s="117"/>
      <c r="F71" s="118"/>
      <c r="G71" s="52">
        <f>IRR(G70:U70)</f>
        <v>0.21759985801697379</v>
      </c>
      <c r="H71" s="53"/>
      <c r="I71" s="53"/>
      <c r="J71" s="53"/>
      <c r="K71" s="53"/>
      <c r="L71" s="53"/>
      <c r="M71" s="53"/>
      <c r="N71" s="53"/>
      <c r="O71" s="53"/>
      <c r="P71" s="53"/>
    </row>
    <row r="72" spans="1:22" x14ac:dyDescent="0.25">
      <c r="A72" s="1"/>
      <c r="B72" s="116" t="s">
        <v>39</v>
      </c>
      <c r="C72" s="117"/>
      <c r="D72" s="117"/>
      <c r="E72" s="117"/>
      <c r="F72" s="118"/>
      <c r="G72" s="54">
        <f>NPV(0.1,G70:U70)</f>
        <v>831051.71384598699</v>
      </c>
      <c r="H72" s="53"/>
      <c r="I72" s="53"/>
      <c r="J72" s="53"/>
      <c r="K72" s="53"/>
      <c r="L72" s="53"/>
      <c r="M72" s="53"/>
      <c r="N72" s="53"/>
      <c r="O72" s="53"/>
      <c r="P72" s="53"/>
    </row>
    <row r="73" spans="1:22" x14ac:dyDescent="0.25">
      <c r="A73" s="1"/>
      <c r="B73" s="111"/>
      <c r="C73" s="111"/>
      <c r="D73" s="111"/>
      <c r="E73" s="111"/>
      <c r="F73" s="111"/>
      <c r="G73" s="55"/>
      <c r="H73" s="56"/>
      <c r="I73" s="56"/>
      <c r="J73" s="56"/>
      <c r="K73" s="56"/>
      <c r="L73" s="56"/>
      <c r="M73" s="56"/>
      <c r="N73" s="56"/>
      <c r="O73" s="56"/>
      <c r="P73" s="56"/>
    </row>
    <row r="74" spans="1:22" x14ac:dyDescent="0.25">
      <c r="A74" s="1"/>
      <c r="B74" s="111"/>
      <c r="C74" s="112"/>
      <c r="D74" s="112"/>
      <c r="E74" s="112"/>
      <c r="F74" s="112"/>
      <c r="G74" s="57"/>
      <c r="H74" s="56"/>
      <c r="I74" s="56"/>
      <c r="J74" s="56"/>
      <c r="K74" s="56"/>
      <c r="L74" s="56"/>
      <c r="M74" s="56"/>
      <c r="N74" s="56"/>
      <c r="O74" s="56"/>
      <c r="P74" s="56"/>
    </row>
    <row r="75" spans="1:22" x14ac:dyDescent="0.25">
      <c r="A75" s="1"/>
      <c r="B75" s="111"/>
      <c r="C75" s="112"/>
      <c r="D75" s="112"/>
      <c r="E75" s="112"/>
      <c r="F75" s="112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</row>
    <row r="76" spans="1:22" x14ac:dyDescent="0.25">
      <c r="A76" s="1"/>
      <c r="B76" s="109"/>
      <c r="C76" s="110"/>
      <c r="D76" s="110"/>
      <c r="E76" s="110"/>
      <c r="F76" s="110"/>
      <c r="G76" s="52"/>
      <c r="H76" s="56"/>
      <c r="I76" s="56"/>
      <c r="J76" s="56"/>
      <c r="K76" s="56"/>
      <c r="L76" s="56"/>
      <c r="M76" s="56"/>
      <c r="N76" s="56"/>
      <c r="O76" s="56"/>
      <c r="P76" s="56"/>
    </row>
    <row r="77" spans="1:22" x14ac:dyDescent="0.25">
      <c r="A77" s="1"/>
      <c r="B77" s="109"/>
      <c r="C77" s="110"/>
      <c r="D77" s="110"/>
      <c r="E77" s="110"/>
      <c r="F77" s="110"/>
      <c r="G77" s="54"/>
      <c r="H77" s="56"/>
      <c r="I77" s="56"/>
      <c r="J77" s="56"/>
      <c r="K77" s="56"/>
      <c r="L77" s="56"/>
      <c r="M77" s="56"/>
      <c r="N77" s="56"/>
      <c r="O77" s="56"/>
      <c r="P77" s="56"/>
    </row>
  </sheetData>
  <mergeCells count="18">
    <mergeCell ref="B77:F77"/>
    <mergeCell ref="B36:F36"/>
    <mergeCell ref="B37:F37"/>
    <mergeCell ref="B38:F38"/>
    <mergeCell ref="B41:P41"/>
    <mergeCell ref="G42:P42"/>
    <mergeCell ref="B71:F71"/>
    <mergeCell ref="B72:F72"/>
    <mergeCell ref="B73:F73"/>
    <mergeCell ref="B74:F74"/>
    <mergeCell ref="B75:F75"/>
    <mergeCell ref="B76:F76"/>
    <mergeCell ref="B35:F35"/>
    <mergeCell ref="B1:P1"/>
    <mergeCell ref="G2:P2"/>
    <mergeCell ref="B32:F32"/>
    <mergeCell ref="B33:F33"/>
    <mergeCell ref="B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7AA5-D645-4EAD-B190-594051741488}">
  <dimension ref="A1:V86"/>
  <sheetViews>
    <sheetView topLeftCell="A45" workbookViewId="0">
      <selection activeCell="B69" sqref="B69:F69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5"/>
      <c r="B1" s="113" t="s">
        <v>13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21" x14ac:dyDescent="0.25">
      <c r="A2" s="35"/>
      <c r="B2" s="36"/>
      <c r="C2" s="37" t="s">
        <v>14</v>
      </c>
      <c r="D2" s="38" t="s">
        <v>15</v>
      </c>
      <c r="E2" s="38" t="s">
        <v>16</v>
      </c>
      <c r="F2" s="38" t="s">
        <v>17</v>
      </c>
      <c r="G2" s="114" t="s">
        <v>18</v>
      </c>
      <c r="H2" s="115"/>
      <c r="I2" s="115"/>
      <c r="J2" s="115"/>
      <c r="K2" s="115"/>
      <c r="L2" s="115"/>
      <c r="M2" s="115"/>
      <c r="N2" s="115"/>
      <c r="O2" s="115"/>
      <c r="P2" s="115"/>
    </row>
    <row r="3" spans="1:21" x14ac:dyDescent="0.25">
      <c r="A3" s="35"/>
      <c r="B3" s="37" t="s">
        <v>19</v>
      </c>
      <c r="C3" s="36"/>
      <c r="D3" s="119" t="s">
        <v>20</v>
      </c>
      <c r="E3" s="120"/>
      <c r="F3" s="121"/>
      <c r="G3" s="39">
        <v>1</v>
      </c>
      <c r="H3" s="39">
        <f t="shared" ref="H3:P3" si="0">G3+1</f>
        <v>2</v>
      </c>
      <c r="I3" s="39">
        <f t="shared" si="0"/>
        <v>3</v>
      </c>
      <c r="J3" s="39">
        <f t="shared" si="0"/>
        <v>4</v>
      </c>
      <c r="K3" s="39">
        <f t="shared" si="0"/>
        <v>5</v>
      </c>
      <c r="L3" s="39">
        <f t="shared" si="0"/>
        <v>6</v>
      </c>
      <c r="M3" s="39">
        <f t="shared" si="0"/>
        <v>7</v>
      </c>
      <c r="N3" s="39">
        <f t="shared" si="0"/>
        <v>8</v>
      </c>
      <c r="O3" s="39">
        <f t="shared" si="0"/>
        <v>9</v>
      </c>
      <c r="P3" s="39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5"/>
      <c r="B4" s="40" t="s">
        <v>109</v>
      </c>
      <c r="C4" s="36" t="s">
        <v>117</v>
      </c>
      <c r="D4" s="39">
        <v>100000</v>
      </c>
      <c r="E4" s="39">
        <v>2.5</v>
      </c>
      <c r="F4" s="39"/>
      <c r="G4" s="39"/>
      <c r="H4" s="39">
        <f>I4</f>
        <v>250000</v>
      </c>
      <c r="I4" s="39">
        <f>J4</f>
        <v>250000</v>
      </c>
      <c r="J4" s="39">
        <f>D4*E4</f>
        <v>250000</v>
      </c>
      <c r="K4" s="39">
        <f>J4*1.2</f>
        <v>300000</v>
      </c>
      <c r="L4" s="39">
        <f>K4*1.2</f>
        <v>360000</v>
      </c>
      <c r="M4" s="39">
        <f t="shared" ref="M4:U4" si="1">L4*1.2</f>
        <v>432000</v>
      </c>
      <c r="N4" s="39">
        <f t="shared" si="1"/>
        <v>518400</v>
      </c>
      <c r="O4" s="39">
        <f t="shared" si="1"/>
        <v>622080</v>
      </c>
      <c r="P4" s="39">
        <f t="shared" si="1"/>
        <v>746496</v>
      </c>
      <c r="Q4" s="39">
        <f t="shared" si="1"/>
        <v>895795.19999999995</v>
      </c>
      <c r="R4" s="39">
        <f t="shared" si="1"/>
        <v>1074954.24</v>
      </c>
      <c r="S4" s="39">
        <f t="shared" si="1"/>
        <v>1289945.088</v>
      </c>
      <c r="T4" s="39">
        <f t="shared" si="1"/>
        <v>1547934.1055999999</v>
      </c>
      <c r="U4" s="39">
        <f t="shared" si="1"/>
        <v>1857520.9267199999</v>
      </c>
    </row>
    <row r="5" spans="1:21" ht="22.5" customHeight="1" x14ac:dyDescent="0.25">
      <c r="A5" s="35"/>
      <c r="B5" s="40" t="s">
        <v>195</v>
      </c>
      <c r="C5" s="36" t="s">
        <v>196</v>
      </c>
      <c r="D5" s="41">
        <v>5200</v>
      </c>
      <c r="E5" s="39">
        <v>3</v>
      </c>
      <c r="F5" s="39">
        <f>D5*E5</f>
        <v>15600</v>
      </c>
      <c r="G5" s="39">
        <f>F5</f>
        <v>15600</v>
      </c>
      <c r="H5" s="39">
        <f t="shared" ref="H5" si="2">F5</f>
        <v>15600</v>
      </c>
      <c r="I5" s="39">
        <f>H5</f>
        <v>15600</v>
      </c>
      <c r="J5" s="39">
        <f>I5</f>
        <v>15600</v>
      </c>
      <c r="K5" s="39">
        <f t="shared" ref="K5:U5" si="3">J5</f>
        <v>15600</v>
      </c>
      <c r="L5" s="39">
        <f t="shared" si="3"/>
        <v>15600</v>
      </c>
      <c r="M5" s="39">
        <f t="shared" si="3"/>
        <v>15600</v>
      </c>
      <c r="N5" s="39">
        <f t="shared" si="3"/>
        <v>15600</v>
      </c>
      <c r="O5" s="39">
        <f t="shared" si="3"/>
        <v>15600</v>
      </c>
      <c r="P5" s="39">
        <f t="shared" si="3"/>
        <v>15600</v>
      </c>
      <c r="Q5" s="39">
        <f t="shared" si="3"/>
        <v>15600</v>
      </c>
      <c r="R5" s="39">
        <f t="shared" si="3"/>
        <v>15600</v>
      </c>
      <c r="S5" s="39">
        <f t="shared" si="3"/>
        <v>15600</v>
      </c>
      <c r="T5" s="39">
        <f t="shared" si="3"/>
        <v>15600</v>
      </c>
      <c r="U5" s="39">
        <f t="shared" si="3"/>
        <v>15600</v>
      </c>
    </row>
    <row r="6" spans="1:21" x14ac:dyDescent="0.25">
      <c r="A6" s="35"/>
      <c r="B6" s="37" t="s">
        <v>21</v>
      </c>
      <c r="C6" s="36"/>
      <c r="D6" s="39"/>
      <c r="E6" s="39"/>
      <c r="F6" s="38">
        <f t="shared" ref="F6:U6" si="4">SUM(F4:F5)</f>
        <v>15600</v>
      </c>
      <c r="G6" s="38">
        <f t="shared" si="4"/>
        <v>15600</v>
      </c>
      <c r="H6" s="38">
        <f t="shared" si="4"/>
        <v>265600</v>
      </c>
      <c r="I6" s="38">
        <f t="shared" si="4"/>
        <v>265600</v>
      </c>
      <c r="J6" s="38">
        <f t="shared" si="4"/>
        <v>265600</v>
      </c>
      <c r="K6" s="38">
        <f t="shared" si="4"/>
        <v>315600</v>
      </c>
      <c r="L6" s="38">
        <f t="shared" si="4"/>
        <v>375600</v>
      </c>
      <c r="M6" s="38">
        <f t="shared" si="4"/>
        <v>447600</v>
      </c>
      <c r="N6" s="38">
        <f t="shared" si="4"/>
        <v>534000</v>
      </c>
      <c r="O6" s="38">
        <f t="shared" si="4"/>
        <v>637680</v>
      </c>
      <c r="P6" s="38">
        <f t="shared" si="4"/>
        <v>762096</v>
      </c>
      <c r="Q6" s="38">
        <f t="shared" si="4"/>
        <v>911395.2</v>
      </c>
      <c r="R6" s="38">
        <f t="shared" si="4"/>
        <v>1090554.24</v>
      </c>
      <c r="S6" s="38">
        <f t="shared" si="4"/>
        <v>1305545.088</v>
      </c>
      <c r="T6" s="38">
        <f t="shared" si="4"/>
        <v>1563534.1055999999</v>
      </c>
      <c r="U6" s="38">
        <f t="shared" si="4"/>
        <v>1873120.9267199999</v>
      </c>
    </row>
    <row r="7" spans="1:21" x14ac:dyDescent="0.25">
      <c r="A7" s="35"/>
      <c r="B7" s="36"/>
      <c r="C7" s="36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21" x14ac:dyDescent="0.25">
      <c r="A8" s="35"/>
      <c r="B8" s="42" t="s">
        <v>110</v>
      </c>
      <c r="C8" s="36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21" x14ac:dyDescent="0.25">
      <c r="A9" s="35"/>
      <c r="B9" s="37" t="s">
        <v>23</v>
      </c>
      <c r="C9" s="36"/>
      <c r="D9" s="39"/>
      <c r="E9" s="39"/>
      <c r="F9" s="43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21" x14ac:dyDescent="0.25">
      <c r="A10" s="35"/>
      <c r="B10" s="44" t="s">
        <v>198</v>
      </c>
      <c r="C10" s="36" t="s">
        <v>24</v>
      </c>
      <c r="D10" s="39">
        <v>10</v>
      </c>
      <c r="E10" s="39">
        <v>30000</v>
      </c>
      <c r="F10" s="39">
        <f>D10*E10</f>
        <v>300000</v>
      </c>
      <c r="G10" s="39">
        <f>F10</f>
        <v>300000</v>
      </c>
      <c r="H10" s="39">
        <f>G10</f>
        <v>300000</v>
      </c>
      <c r="I10" s="39">
        <v>0</v>
      </c>
      <c r="J10" s="39">
        <v>0</v>
      </c>
      <c r="K10" s="39">
        <v>0</v>
      </c>
      <c r="L10" s="39"/>
      <c r="M10" s="39"/>
      <c r="N10" s="39"/>
      <c r="O10" s="39"/>
      <c r="P10" s="39"/>
    </row>
    <row r="11" spans="1:21" x14ac:dyDescent="0.25">
      <c r="A11" s="35"/>
      <c r="B11" s="44" t="s">
        <v>197</v>
      </c>
      <c r="C11" s="36" t="s">
        <v>25</v>
      </c>
      <c r="D11" s="39">
        <v>1</v>
      </c>
      <c r="E11" s="39">
        <v>4000000</v>
      </c>
      <c r="F11" s="39">
        <f t="shared" ref="F11:F14" si="5">D11*E11</f>
        <v>4000000</v>
      </c>
      <c r="G11" s="39">
        <f t="shared" ref="G11" si="6">F11</f>
        <v>4000000</v>
      </c>
      <c r="H11" s="39">
        <f>G11</f>
        <v>4000000</v>
      </c>
      <c r="I11" s="39">
        <v>0</v>
      </c>
      <c r="J11" s="39">
        <v>0</v>
      </c>
      <c r="K11" s="39">
        <v>0</v>
      </c>
      <c r="L11" s="39"/>
      <c r="M11" s="39"/>
      <c r="N11" s="39"/>
      <c r="O11" s="39"/>
      <c r="P11" s="39"/>
    </row>
    <row r="12" spans="1:21" x14ac:dyDescent="0.25">
      <c r="A12" s="35"/>
      <c r="B12" s="37" t="s">
        <v>26</v>
      </c>
      <c r="C12" s="36"/>
      <c r="D12" s="39"/>
      <c r="E12" s="39"/>
      <c r="F12" s="38">
        <v>0</v>
      </c>
      <c r="G12" s="39">
        <v>0</v>
      </c>
      <c r="H12" s="38">
        <f t="shared" ref="H12:K12" si="7">SUM(H10:H11)</f>
        <v>4300000</v>
      </c>
      <c r="I12" s="38">
        <f t="shared" si="7"/>
        <v>0</v>
      </c>
      <c r="J12" s="38">
        <f t="shared" si="7"/>
        <v>0</v>
      </c>
      <c r="K12" s="38">
        <f t="shared" si="7"/>
        <v>0</v>
      </c>
      <c r="L12" s="38"/>
      <c r="M12" s="38"/>
      <c r="N12" s="38"/>
      <c r="O12" s="38"/>
      <c r="P12" s="38"/>
    </row>
    <row r="13" spans="1:21" x14ac:dyDescent="0.25">
      <c r="A13" s="35"/>
      <c r="B13" s="36"/>
      <c r="C13" s="36"/>
      <c r="D13" s="39"/>
      <c r="E13" s="39"/>
      <c r="F13" s="39">
        <f t="shared" si="5"/>
        <v>0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21" x14ac:dyDescent="0.25">
      <c r="A14" s="35"/>
      <c r="B14" s="37" t="s">
        <v>115</v>
      </c>
      <c r="C14" s="36"/>
      <c r="D14" s="39"/>
      <c r="E14" s="39"/>
      <c r="F14" s="39">
        <f t="shared" si="5"/>
        <v>0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21" ht="30" x14ac:dyDescent="0.25">
      <c r="A15" s="35"/>
      <c r="B15" s="99" t="s">
        <v>211</v>
      </c>
      <c r="C15" s="36" t="s">
        <v>166</v>
      </c>
      <c r="D15" s="39">
        <f>H12*0.1</f>
        <v>430000</v>
      </c>
      <c r="E15" s="39">
        <v>1</v>
      </c>
      <c r="F15" s="39">
        <f>D15*E15</f>
        <v>430000</v>
      </c>
      <c r="G15" s="39">
        <f>F15</f>
        <v>430000</v>
      </c>
      <c r="H15" s="39">
        <f>F15</f>
        <v>430000</v>
      </c>
      <c r="I15" s="39">
        <f>H15</f>
        <v>430000</v>
      </c>
      <c r="J15" s="39">
        <f t="shared" ref="J15:U19" si="8">I15</f>
        <v>430000</v>
      </c>
      <c r="K15" s="39">
        <f t="shared" si="8"/>
        <v>430000</v>
      </c>
      <c r="L15" s="39">
        <f t="shared" si="8"/>
        <v>430000</v>
      </c>
      <c r="M15" s="39">
        <f t="shared" si="8"/>
        <v>430000</v>
      </c>
      <c r="N15" s="39">
        <f t="shared" si="8"/>
        <v>430000</v>
      </c>
      <c r="O15" s="39">
        <f t="shared" si="8"/>
        <v>430000</v>
      </c>
      <c r="P15" s="39">
        <f t="shared" si="8"/>
        <v>430000</v>
      </c>
      <c r="Q15" s="39">
        <f t="shared" si="8"/>
        <v>430000</v>
      </c>
      <c r="R15" s="39">
        <f t="shared" si="8"/>
        <v>430000</v>
      </c>
      <c r="S15" s="39">
        <f t="shared" si="8"/>
        <v>430000</v>
      </c>
      <c r="T15" s="39">
        <f t="shared" si="8"/>
        <v>430000</v>
      </c>
      <c r="U15" s="39">
        <f>T15*0.5</f>
        <v>215000</v>
      </c>
    </row>
    <row r="16" spans="1:21" x14ac:dyDescent="0.25">
      <c r="A16" s="35"/>
      <c r="B16" s="99"/>
      <c r="C16" s="36"/>
      <c r="D16" s="39">
        <v>0</v>
      </c>
      <c r="E16" s="39">
        <v>0</v>
      </c>
      <c r="F16" s="39">
        <f>D16*E16</f>
        <v>0</v>
      </c>
      <c r="G16" s="39">
        <f>F16</f>
        <v>0</v>
      </c>
      <c r="H16" s="39">
        <f>F16</f>
        <v>0</v>
      </c>
      <c r="I16" s="39">
        <f t="shared" ref="I16" si="9">H16</f>
        <v>0</v>
      </c>
      <c r="J16" s="39">
        <f t="shared" ref="J16" si="10">H16</f>
        <v>0</v>
      </c>
      <c r="K16" s="39">
        <f t="shared" si="8"/>
        <v>0</v>
      </c>
      <c r="L16" s="39">
        <f t="shared" ref="L16" si="11">J16</f>
        <v>0</v>
      </c>
      <c r="M16" s="39">
        <f t="shared" si="8"/>
        <v>0</v>
      </c>
      <c r="N16" s="39">
        <f t="shared" ref="N16" si="12">L16</f>
        <v>0</v>
      </c>
      <c r="O16" s="39">
        <f t="shared" si="8"/>
        <v>0</v>
      </c>
      <c r="P16" s="39">
        <f t="shared" ref="P16" si="13">N16</f>
        <v>0</v>
      </c>
      <c r="Q16" s="39">
        <f t="shared" si="8"/>
        <v>0</v>
      </c>
      <c r="R16" s="39">
        <f t="shared" ref="R16" si="14">P16</f>
        <v>0</v>
      </c>
      <c r="S16" s="39">
        <f t="shared" si="8"/>
        <v>0</v>
      </c>
      <c r="T16" s="39">
        <f t="shared" ref="T16" si="15">R16</f>
        <v>0</v>
      </c>
      <c r="U16" s="39">
        <f t="shared" ref="U16" si="16">T16</f>
        <v>0</v>
      </c>
    </row>
    <row r="17" spans="1:22" x14ac:dyDescent="0.25">
      <c r="A17" s="35"/>
      <c r="B17" s="99"/>
      <c r="C17" s="36"/>
      <c r="D17" s="39"/>
      <c r="E17" s="39"/>
      <c r="F17" s="39">
        <v>0</v>
      </c>
      <c r="G17" s="39">
        <f>F17</f>
        <v>0</v>
      </c>
      <c r="H17" s="39">
        <f>F17</f>
        <v>0</v>
      </c>
      <c r="I17" s="39">
        <f>H17</f>
        <v>0</v>
      </c>
      <c r="J17" s="39">
        <f>I17</f>
        <v>0</v>
      </c>
      <c r="K17" s="39">
        <f t="shared" si="8"/>
        <v>0</v>
      </c>
      <c r="L17" s="39">
        <f t="shared" si="8"/>
        <v>0</v>
      </c>
      <c r="M17" s="39">
        <f t="shared" si="8"/>
        <v>0</v>
      </c>
      <c r="N17" s="39">
        <f t="shared" si="8"/>
        <v>0</v>
      </c>
      <c r="O17" s="39">
        <f t="shared" si="8"/>
        <v>0</v>
      </c>
      <c r="P17" s="39">
        <f t="shared" si="8"/>
        <v>0</v>
      </c>
      <c r="Q17" s="39">
        <f t="shared" si="8"/>
        <v>0</v>
      </c>
      <c r="R17" s="39">
        <f t="shared" si="8"/>
        <v>0</v>
      </c>
      <c r="S17" s="39">
        <f t="shared" si="8"/>
        <v>0</v>
      </c>
      <c r="T17" s="39">
        <f t="shared" si="8"/>
        <v>0</v>
      </c>
      <c r="U17" s="39">
        <f t="shared" si="8"/>
        <v>0</v>
      </c>
      <c r="V17" s="45"/>
    </row>
    <row r="18" spans="1:22" x14ac:dyDescent="0.25">
      <c r="A18" s="35"/>
      <c r="B18" s="99"/>
      <c r="C18" s="36"/>
      <c r="D18" s="39"/>
      <c r="E18" s="39"/>
      <c r="F18" s="39">
        <v>0</v>
      </c>
      <c r="G18" s="39">
        <f t="shared" ref="G18" si="17">F18</f>
        <v>0</v>
      </c>
      <c r="H18" s="39">
        <f>G18</f>
        <v>0</v>
      </c>
      <c r="I18" s="39">
        <f t="shared" ref="I18:P19" si="18">H18</f>
        <v>0</v>
      </c>
      <c r="J18" s="39">
        <f t="shared" si="18"/>
        <v>0</v>
      </c>
      <c r="K18" s="39">
        <f t="shared" si="18"/>
        <v>0</v>
      </c>
      <c r="L18" s="39">
        <f t="shared" si="18"/>
        <v>0</v>
      </c>
      <c r="M18" s="39">
        <f t="shared" si="18"/>
        <v>0</v>
      </c>
      <c r="N18" s="39">
        <f t="shared" si="18"/>
        <v>0</v>
      </c>
      <c r="O18" s="39">
        <f t="shared" si="18"/>
        <v>0</v>
      </c>
      <c r="P18" s="39">
        <f t="shared" si="18"/>
        <v>0</v>
      </c>
      <c r="Q18" s="39">
        <f t="shared" si="8"/>
        <v>0</v>
      </c>
      <c r="R18" s="39">
        <f t="shared" si="8"/>
        <v>0</v>
      </c>
      <c r="S18" s="39">
        <f t="shared" si="8"/>
        <v>0</v>
      </c>
      <c r="T18" s="39">
        <f t="shared" si="8"/>
        <v>0</v>
      </c>
      <c r="U18" s="39">
        <f t="shared" si="8"/>
        <v>0</v>
      </c>
      <c r="V18" s="45"/>
    </row>
    <row r="19" spans="1:22" x14ac:dyDescent="0.25">
      <c r="A19" s="35"/>
      <c r="B19" s="99"/>
      <c r="C19" s="36"/>
      <c r="D19" s="39"/>
      <c r="E19" s="39"/>
      <c r="F19" s="39">
        <v>0</v>
      </c>
      <c r="G19" s="39">
        <f>F19</f>
        <v>0</v>
      </c>
      <c r="H19" s="39">
        <f>F19</f>
        <v>0</v>
      </c>
      <c r="I19" s="39">
        <f t="shared" si="18"/>
        <v>0</v>
      </c>
      <c r="J19" s="39">
        <f t="shared" si="18"/>
        <v>0</v>
      </c>
      <c r="K19" s="39">
        <f t="shared" si="18"/>
        <v>0</v>
      </c>
      <c r="L19" s="39">
        <f t="shared" si="18"/>
        <v>0</v>
      </c>
      <c r="M19" s="39">
        <f t="shared" si="18"/>
        <v>0</v>
      </c>
      <c r="N19" s="39">
        <f t="shared" si="18"/>
        <v>0</v>
      </c>
      <c r="O19" s="39">
        <f t="shared" si="18"/>
        <v>0</v>
      </c>
      <c r="P19" s="39">
        <f t="shared" si="18"/>
        <v>0</v>
      </c>
      <c r="Q19" s="39">
        <f t="shared" si="8"/>
        <v>0</v>
      </c>
      <c r="R19" s="39">
        <f t="shared" si="8"/>
        <v>0</v>
      </c>
      <c r="S19" s="39">
        <f t="shared" si="8"/>
        <v>0</v>
      </c>
      <c r="T19" s="39">
        <f t="shared" si="8"/>
        <v>0</v>
      </c>
      <c r="U19" s="39">
        <f t="shared" si="8"/>
        <v>0</v>
      </c>
    </row>
    <row r="20" spans="1:22" x14ac:dyDescent="0.25">
      <c r="A20" s="35"/>
      <c r="B20" s="37" t="s">
        <v>28</v>
      </c>
      <c r="C20" s="36"/>
      <c r="D20" s="39"/>
      <c r="E20" s="39"/>
      <c r="F20" s="38">
        <f t="shared" ref="F20:U20" si="19">SUM(F15:F19)</f>
        <v>430000</v>
      </c>
      <c r="G20" s="39">
        <f t="shared" si="19"/>
        <v>430000</v>
      </c>
      <c r="H20" s="38">
        <f t="shared" si="19"/>
        <v>430000</v>
      </c>
      <c r="I20" s="38">
        <f t="shared" si="19"/>
        <v>430000</v>
      </c>
      <c r="J20" s="38">
        <f t="shared" si="19"/>
        <v>430000</v>
      </c>
      <c r="K20" s="38">
        <f t="shared" si="19"/>
        <v>430000</v>
      </c>
      <c r="L20" s="38">
        <f t="shared" si="19"/>
        <v>430000</v>
      </c>
      <c r="M20" s="38">
        <f t="shared" si="19"/>
        <v>430000</v>
      </c>
      <c r="N20" s="38">
        <f t="shared" si="19"/>
        <v>430000</v>
      </c>
      <c r="O20" s="38">
        <f t="shared" si="19"/>
        <v>430000</v>
      </c>
      <c r="P20" s="38">
        <f t="shared" si="19"/>
        <v>430000</v>
      </c>
      <c r="Q20" s="38">
        <f t="shared" si="19"/>
        <v>430000</v>
      </c>
      <c r="R20" s="38">
        <f t="shared" si="19"/>
        <v>430000</v>
      </c>
      <c r="S20" s="38">
        <f t="shared" si="19"/>
        <v>430000</v>
      </c>
      <c r="T20" s="38">
        <f t="shared" si="19"/>
        <v>430000</v>
      </c>
      <c r="U20" s="38">
        <f t="shared" si="19"/>
        <v>215000</v>
      </c>
    </row>
    <row r="21" spans="1:22" x14ac:dyDescent="0.25">
      <c r="A21" s="35"/>
      <c r="B21" s="46"/>
      <c r="C21" s="36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22" x14ac:dyDescent="0.25">
      <c r="A22" s="35"/>
      <c r="B22" s="37" t="s">
        <v>29</v>
      </c>
      <c r="C22" s="36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22" x14ac:dyDescent="0.25">
      <c r="A23" s="35"/>
      <c r="B23" s="36" t="s">
        <v>30</v>
      </c>
      <c r="C23" s="36" t="s">
        <v>207</v>
      </c>
      <c r="D23" s="39">
        <v>1</v>
      </c>
      <c r="E23" s="39">
        <f>E11/15</f>
        <v>266666.66666666669</v>
      </c>
      <c r="F23" s="39">
        <f>D23*E23</f>
        <v>266666.66666666669</v>
      </c>
      <c r="G23" s="39">
        <f t="shared" ref="G23" si="20">F23</f>
        <v>266666.66666666669</v>
      </c>
      <c r="H23" s="39">
        <f>D23*E23</f>
        <v>266666.66666666669</v>
      </c>
      <c r="I23" s="39">
        <f t="shared" ref="I23:U23" si="21">H23</f>
        <v>266666.66666666669</v>
      </c>
      <c r="J23" s="39">
        <f t="shared" si="21"/>
        <v>266666.66666666669</v>
      </c>
      <c r="K23" s="39">
        <f t="shared" si="21"/>
        <v>266666.66666666669</v>
      </c>
      <c r="L23" s="39">
        <f t="shared" si="21"/>
        <v>266666.66666666669</v>
      </c>
      <c r="M23" s="39">
        <f t="shared" si="21"/>
        <v>266666.66666666669</v>
      </c>
      <c r="N23" s="39">
        <f t="shared" si="21"/>
        <v>266666.66666666669</v>
      </c>
      <c r="O23" s="39">
        <f t="shared" si="21"/>
        <v>266666.66666666669</v>
      </c>
      <c r="P23" s="39">
        <f t="shared" si="21"/>
        <v>266666.66666666669</v>
      </c>
      <c r="Q23" s="39">
        <f t="shared" si="21"/>
        <v>266666.66666666669</v>
      </c>
      <c r="R23" s="39">
        <f t="shared" si="21"/>
        <v>266666.66666666669</v>
      </c>
      <c r="S23" s="39">
        <f t="shared" si="21"/>
        <v>266666.66666666669</v>
      </c>
      <c r="T23" s="39">
        <f t="shared" si="21"/>
        <v>266666.66666666669</v>
      </c>
      <c r="U23" s="39">
        <f t="shared" si="21"/>
        <v>266666.66666666669</v>
      </c>
      <c r="V23" s="47">
        <f>SUM(H23:U23)</f>
        <v>3733333.3333333326</v>
      </c>
    </row>
    <row r="24" spans="1:22" x14ac:dyDescent="0.25">
      <c r="A24" s="35"/>
      <c r="B24" s="37" t="s">
        <v>31</v>
      </c>
      <c r="C24" s="36"/>
      <c r="D24" s="39"/>
      <c r="E24" s="39"/>
      <c r="F24" s="38">
        <f>F15</f>
        <v>430000</v>
      </c>
      <c r="G24" s="38">
        <f t="shared" ref="G24:U24" si="22">G15</f>
        <v>430000</v>
      </c>
      <c r="H24" s="38">
        <f t="shared" si="22"/>
        <v>430000</v>
      </c>
      <c r="I24" s="38">
        <f t="shared" si="22"/>
        <v>430000</v>
      </c>
      <c r="J24" s="38">
        <f t="shared" si="22"/>
        <v>430000</v>
      </c>
      <c r="K24" s="38">
        <f t="shared" si="22"/>
        <v>430000</v>
      </c>
      <c r="L24" s="38">
        <f t="shared" si="22"/>
        <v>430000</v>
      </c>
      <c r="M24" s="38">
        <f t="shared" si="22"/>
        <v>430000</v>
      </c>
      <c r="N24" s="38">
        <f t="shared" si="22"/>
        <v>430000</v>
      </c>
      <c r="O24" s="38">
        <f t="shared" si="22"/>
        <v>430000</v>
      </c>
      <c r="P24" s="38">
        <f t="shared" si="22"/>
        <v>430000</v>
      </c>
      <c r="Q24" s="38">
        <f t="shared" si="22"/>
        <v>430000</v>
      </c>
      <c r="R24" s="38">
        <f t="shared" si="22"/>
        <v>430000</v>
      </c>
      <c r="S24" s="38">
        <f t="shared" si="22"/>
        <v>430000</v>
      </c>
      <c r="T24" s="38">
        <f t="shared" si="22"/>
        <v>430000</v>
      </c>
      <c r="U24" s="38">
        <f t="shared" si="22"/>
        <v>215000</v>
      </c>
    </row>
    <row r="25" spans="1:22" x14ac:dyDescent="0.25">
      <c r="A25" s="35"/>
      <c r="B25" s="37" t="s">
        <v>32</v>
      </c>
      <c r="C25" s="36"/>
      <c r="D25" s="39"/>
      <c r="E25" s="39"/>
      <c r="F25" s="38">
        <f t="shared" ref="F25:U25" si="23">F12+F20+F24</f>
        <v>860000</v>
      </c>
      <c r="G25" s="38">
        <f t="shared" si="23"/>
        <v>860000</v>
      </c>
      <c r="H25" s="38">
        <f t="shared" si="23"/>
        <v>5160000</v>
      </c>
      <c r="I25" s="38">
        <f t="shared" si="23"/>
        <v>860000</v>
      </c>
      <c r="J25" s="38">
        <f t="shared" si="23"/>
        <v>860000</v>
      </c>
      <c r="K25" s="38">
        <f t="shared" si="23"/>
        <v>860000</v>
      </c>
      <c r="L25" s="38">
        <f t="shared" si="23"/>
        <v>860000</v>
      </c>
      <c r="M25" s="38">
        <f t="shared" si="23"/>
        <v>860000</v>
      </c>
      <c r="N25" s="38">
        <f t="shared" si="23"/>
        <v>860000</v>
      </c>
      <c r="O25" s="38">
        <f t="shared" si="23"/>
        <v>860000</v>
      </c>
      <c r="P25" s="38">
        <f t="shared" si="23"/>
        <v>860000</v>
      </c>
      <c r="Q25" s="38">
        <f t="shared" si="23"/>
        <v>860000</v>
      </c>
      <c r="R25" s="38">
        <f t="shared" si="23"/>
        <v>860000</v>
      </c>
      <c r="S25" s="38">
        <f t="shared" si="23"/>
        <v>860000</v>
      </c>
      <c r="T25" s="38">
        <f t="shared" si="23"/>
        <v>860000</v>
      </c>
      <c r="U25" s="38">
        <f t="shared" si="23"/>
        <v>430000</v>
      </c>
    </row>
    <row r="26" spans="1:22" x14ac:dyDescent="0.25">
      <c r="A26" s="35"/>
      <c r="B26" s="37"/>
      <c r="C26" s="36"/>
      <c r="D26" s="39"/>
      <c r="E26" s="48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spans="1:22" x14ac:dyDescent="0.25">
      <c r="A27" s="35"/>
      <c r="B27" s="37" t="s">
        <v>33</v>
      </c>
      <c r="C27" s="36" t="s">
        <v>207</v>
      </c>
      <c r="D27" s="39"/>
      <c r="E27" s="39"/>
      <c r="F27" s="39"/>
      <c r="G27" s="38"/>
      <c r="H27" s="38"/>
      <c r="I27" s="38">
        <f>-(I6-I12-I20)</f>
        <v>164400</v>
      </c>
      <c r="J27" s="38">
        <f t="shared" ref="J27:U27" si="24">J6-J12-J20</f>
        <v>-164400</v>
      </c>
      <c r="K27" s="38">
        <f t="shared" si="24"/>
        <v>-114400</v>
      </c>
      <c r="L27" s="38">
        <f t="shared" si="24"/>
        <v>-54400</v>
      </c>
      <c r="M27" s="38">
        <f t="shared" si="24"/>
        <v>17600</v>
      </c>
      <c r="N27" s="38">
        <f t="shared" si="24"/>
        <v>104000</v>
      </c>
      <c r="O27" s="38">
        <f t="shared" si="24"/>
        <v>207680</v>
      </c>
      <c r="P27" s="38">
        <f t="shared" si="24"/>
        <v>332096</v>
      </c>
      <c r="Q27" s="38">
        <f t="shared" si="24"/>
        <v>481395.19999999995</v>
      </c>
      <c r="R27" s="38">
        <f t="shared" si="24"/>
        <v>660554.23999999999</v>
      </c>
      <c r="S27" s="38">
        <f t="shared" si="24"/>
        <v>875545.08799999999</v>
      </c>
      <c r="T27" s="38">
        <f t="shared" si="24"/>
        <v>1133534.1055999999</v>
      </c>
      <c r="U27" s="38">
        <f t="shared" si="24"/>
        <v>1658120.9267199999</v>
      </c>
    </row>
    <row r="28" spans="1:22" x14ac:dyDescent="0.25">
      <c r="A28" s="35"/>
      <c r="B28" s="37" t="s">
        <v>34</v>
      </c>
      <c r="C28" s="36" t="s">
        <v>207</v>
      </c>
      <c r="D28" s="39"/>
      <c r="E28" s="39"/>
      <c r="F28" s="39"/>
      <c r="G28" s="38">
        <f>H28</f>
        <v>265600</v>
      </c>
      <c r="H28" s="38">
        <f>I28</f>
        <v>265600</v>
      </c>
      <c r="I28" s="38">
        <f>-(I27-I24)</f>
        <v>265600</v>
      </c>
      <c r="J28" s="38">
        <f>I28</f>
        <v>265600</v>
      </c>
      <c r="K28" s="38">
        <f>K27-K24</f>
        <v>-544400</v>
      </c>
      <c r="L28" s="38">
        <f>L27-L24</f>
        <v>-484400</v>
      </c>
      <c r="M28" s="38">
        <f>(M27-M24)</f>
        <v>-412400</v>
      </c>
      <c r="N28" s="38">
        <f t="shared" ref="N28:U28" si="25">N27-N24</f>
        <v>-326000</v>
      </c>
      <c r="O28" s="38">
        <f t="shared" si="25"/>
        <v>-222320</v>
      </c>
      <c r="P28" s="38">
        <f t="shared" si="25"/>
        <v>-97904</v>
      </c>
      <c r="Q28" s="38">
        <f t="shared" si="25"/>
        <v>51395.199999999953</v>
      </c>
      <c r="R28" s="38">
        <f t="shared" si="25"/>
        <v>230554.23999999999</v>
      </c>
      <c r="S28" s="38">
        <f t="shared" si="25"/>
        <v>445545.08799999999</v>
      </c>
      <c r="T28" s="38">
        <f t="shared" si="25"/>
        <v>703534.10559999989</v>
      </c>
      <c r="U28" s="38">
        <f t="shared" si="25"/>
        <v>1443120.9267199999</v>
      </c>
    </row>
    <row r="29" spans="1:22" x14ac:dyDescent="0.25">
      <c r="A29" s="1"/>
      <c r="B29" s="116" t="s">
        <v>35</v>
      </c>
      <c r="C29" s="117"/>
      <c r="D29" s="117"/>
      <c r="E29" s="117"/>
      <c r="F29" s="118"/>
      <c r="G29" s="52">
        <f>IRR(I28:U28)</f>
        <v>0.10640256541414495</v>
      </c>
      <c r="H29" s="53"/>
      <c r="I29" s="53"/>
      <c r="J29" s="53"/>
      <c r="K29" s="53"/>
      <c r="L29" s="53"/>
      <c r="M29" s="53"/>
      <c r="N29" s="53"/>
      <c r="O29" s="53"/>
      <c r="P29" s="53"/>
    </row>
    <row r="30" spans="1:22" x14ac:dyDescent="0.25">
      <c r="A30" s="1"/>
      <c r="B30" s="116" t="s">
        <v>36</v>
      </c>
      <c r="C30" s="117"/>
      <c r="D30" s="117"/>
      <c r="E30" s="117"/>
      <c r="F30" s="118"/>
      <c r="G30" s="54">
        <f>-(NPV(0.1,G28:U28))</f>
        <v>-485984.22217776708</v>
      </c>
      <c r="H30" s="53"/>
      <c r="I30" s="53"/>
      <c r="J30" s="53"/>
      <c r="K30" s="53"/>
      <c r="L30" s="53"/>
      <c r="M30" s="53"/>
      <c r="N30" s="53"/>
      <c r="O30" s="53"/>
      <c r="P30" s="53"/>
    </row>
    <row r="31" spans="1:22" x14ac:dyDescent="0.25">
      <c r="A31" s="1"/>
      <c r="B31" s="111"/>
      <c r="C31" s="111"/>
      <c r="D31" s="111"/>
      <c r="E31" s="111"/>
      <c r="F31" s="111"/>
      <c r="G31" s="55"/>
      <c r="H31" s="56"/>
      <c r="I31" s="56"/>
      <c r="J31" s="56"/>
      <c r="K31" s="56"/>
      <c r="L31" s="56"/>
      <c r="M31" s="56"/>
      <c r="N31" s="56"/>
      <c r="O31" s="56"/>
      <c r="P31" s="56"/>
    </row>
    <row r="32" spans="1:22" x14ac:dyDescent="0.25">
      <c r="A32" s="1"/>
      <c r="B32" s="111"/>
      <c r="C32" s="112"/>
      <c r="D32" s="112"/>
      <c r="E32" s="112"/>
      <c r="F32" s="112"/>
      <c r="G32" s="57"/>
      <c r="H32" s="56"/>
      <c r="I32" s="56"/>
      <c r="J32" s="56"/>
      <c r="K32" s="56"/>
      <c r="L32" s="56"/>
      <c r="M32" s="56"/>
      <c r="N32" s="56"/>
      <c r="O32" s="56"/>
      <c r="P32" s="56"/>
    </row>
    <row r="33" spans="1:21" x14ac:dyDescent="0.25">
      <c r="A33" s="1"/>
      <c r="B33" s="111"/>
      <c r="C33" s="112"/>
      <c r="D33" s="112"/>
      <c r="E33" s="112"/>
      <c r="F33" s="112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</row>
    <row r="34" spans="1:21" x14ac:dyDescent="0.25">
      <c r="A34" s="1"/>
      <c r="B34" s="109"/>
      <c r="C34" s="110"/>
      <c r="D34" s="110"/>
      <c r="E34" s="110"/>
      <c r="F34" s="110"/>
      <c r="G34" s="52"/>
      <c r="H34" s="56"/>
      <c r="I34" s="56"/>
      <c r="J34" s="56"/>
      <c r="K34" s="56"/>
      <c r="L34" s="56"/>
      <c r="M34" s="56"/>
      <c r="N34" s="56"/>
      <c r="O34" s="56"/>
      <c r="P34" s="56"/>
    </row>
    <row r="35" spans="1:21" x14ac:dyDescent="0.25">
      <c r="A35" s="1"/>
      <c r="B35" s="109"/>
      <c r="C35" s="110"/>
      <c r="D35" s="110"/>
      <c r="E35" s="110"/>
      <c r="F35" s="110"/>
      <c r="G35" s="54"/>
      <c r="H35" s="56"/>
      <c r="I35" s="56"/>
      <c r="J35" s="56"/>
      <c r="K35" s="56"/>
      <c r="L35" s="56"/>
      <c r="M35" s="56"/>
      <c r="N35" s="56"/>
      <c r="O35" s="56"/>
      <c r="P35" s="56"/>
    </row>
    <row r="36" spans="1:21" x14ac:dyDescent="0.25">
      <c r="A36" s="1"/>
      <c r="B36" s="49"/>
      <c r="C36" s="50"/>
      <c r="D36" s="50"/>
      <c r="E36" s="50"/>
      <c r="F36" s="51"/>
      <c r="G36" s="54"/>
      <c r="H36" s="53"/>
      <c r="I36" s="53"/>
      <c r="J36" s="53"/>
      <c r="K36" s="53"/>
      <c r="L36" s="53"/>
      <c r="M36" s="53"/>
      <c r="N36" s="53"/>
      <c r="O36" s="53"/>
      <c r="P36" s="53"/>
    </row>
    <row r="37" spans="1:21" x14ac:dyDescent="0.25">
      <c r="A37" s="35"/>
      <c r="B37" s="36"/>
      <c r="C37" s="36"/>
      <c r="D37" s="39"/>
      <c r="E37" s="39"/>
      <c r="F37" s="39"/>
      <c r="G37" s="38"/>
      <c r="H37" s="39"/>
      <c r="I37" s="39"/>
      <c r="J37" s="39"/>
      <c r="K37" s="39"/>
      <c r="L37" s="39"/>
      <c r="M37" s="39"/>
      <c r="N37" s="39"/>
      <c r="O37" s="39"/>
      <c r="P37" s="39"/>
    </row>
    <row r="38" spans="1:21" x14ac:dyDescent="0.25">
      <c r="A38" s="35"/>
      <c r="B38" s="36"/>
      <c r="C38" s="36"/>
      <c r="D38" s="39"/>
      <c r="E38" s="39"/>
      <c r="F38" s="39"/>
      <c r="G38" s="38"/>
      <c r="H38" s="39"/>
      <c r="I38" s="39"/>
      <c r="J38" s="39"/>
      <c r="K38" s="39"/>
      <c r="L38" s="39"/>
      <c r="M38" s="39"/>
      <c r="N38" s="39"/>
      <c r="O38" s="39"/>
      <c r="P38" s="39"/>
    </row>
    <row r="39" spans="1:21" x14ac:dyDescent="0.25">
      <c r="A39" s="35"/>
      <c r="B39" s="35"/>
      <c r="C39" s="3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</row>
    <row r="40" spans="1:21" x14ac:dyDescent="0.25">
      <c r="A40" s="35"/>
      <c r="B40" s="35"/>
      <c r="C40" s="3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</row>
    <row r="41" spans="1:21" x14ac:dyDescent="0.25">
      <c r="A41" s="35"/>
      <c r="B41" s="113" t="s">
        <v>37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</row>
    <row r="42" spans="1:21" x14ac:dyDescent="0.25">
      <c r="A42" s="35"/>
      <c r="B42" s="36"/>
      <c r="C42" s="37" t="s">
        <v>14</v>
      </c>
      <c r="D42" s="38" t="s">
        <v>15</v>
      </c>
      <c r="E42" s="38" t="s">
        <v>16</v>
      </c>
      <c r="F42" s="38" t="s">
        <v>17</v>
      </c>
      <c r="G42" s="114" t="s">
        <v>18</v>
      </c>
      <c r="H42" s="115"/>
      <c r="I42" s="115"/>
      <c r="J42" s="115"/>
      <c r="K42" s="115"/>
      <c r="L42" s="115"/>
      <c r="M42" s="115"/>
      <c r="N42" s="115"/>
      <c r="O42" s="115"/>
      <c r="P42" s="115"/>
    </row>
    <row r="43" spans="1:21" x14ac:dyDescent="0.25">
      <c r="A43" s="35"/>
      <c r="B43" s="37" t="s">
        <v>19</v>
      </c>
      <c r="C43" s="36"/>
      <c r="D43" s="119" t="s">
        <v>20</v>
      </c>
      <c r="E43" s="120"/>
      <c r="F43" s="121"/>
      <c r="G43" s="39">
        <v>1</v>
      </c>
      <c r="H43" s="39">
        <f t="shared" ref="H43:P43" si="26">G43+1</f>
        <v>2</v>
      </c>
      <c r="I43" s="39">
        <f t="shared" si="26"/>
        <v>3</v>
      </c>
      <c r="J43" s="39">
        <f t="shared" si="26"/>
        <v>4</v>
      </c>
      <c r="K43" s="39">
        <f t="shared" si="26"/>
        <v>5</v>
      </c>
      <c r="L43" s="39">
        <f t="shared" si="26"/>
        <v>6</v>
      </c>
      <c r="M43" s="39">
        <f t="shared" si="26"/>
        <v>7</v>
      </c>
      <c r="N43" s="39">
        <f t="shared" si="26"/>
        <v>8</v>
      </c>
      <c r="O43" s="39">
        <f t="shared" si="26"/>
        <v>9</v>
      </c>
      <c r="P43" s="39">
        <f t="shared" si="26"/>
        <v>10</v>
      </c>
      <c r="Q43">
        <v>11</v>
      </c>
      <c r="R43">
        <v>12</v>
      </c>
      <c r="S43">
        <v>13</v>
      </c>
      <c r="T43">
        <v>14</v>
      </c>
      <c r="U43">
        <v>15</v>
      </c>
    </row>
    <row r="44" spans="1:21" ht="35.25" customHeight="1" x14ac:dyDescent="0.25">
      <c r="A44" s="35"/>
      <c r="B44" s="40" t="s">
        <v>109</v>
      </c>
      <c r="C44" s="36" t="s">
        <v>116</v>
      </c>
      <c r="D44" s="39">
        <f>D4</f>
        <v>100000</v>
      </c>
      <c r="E44" s="39">
        <f>E4*0.9</f>
        <v>2.25</v>
      </c>
      <c r="F44" s="39"/>
      <c r="G44" s="39">
        <v>0</v>
      </c>
      <c r="H44" s="39">
        <f>F44</f>
        <v>0</v>
      </c>
      <c r="I44" s="39">
        <f>D44*E44*10</f>
        <v>2250000</v>
      </c>
      <c r="J44" s="39">
        <f>I44</f>
        <v>2250000</v>
      </c>
      <c r="K44" s="39">
        <f t="shared" ref="K44:U45" si="27">J44</f>
        <v>2250000</v>
      </c>
      <c r="L44" s="39">
        <f t="shared" si="27"/>
        <v>2250000</v>
      </c>
      <c r="M44" s="39">
        <f t="shared" si="27"/>
        <v>2250000</v>
      </c>
      <c r="N44" s="39">
        <f t="shared" si="27"/>
        <v>2250000</v>
      </c>
      <c r="O44" s="39">
        <f t="shared" si="27"/>
        <v>2250000</v>
      </c>
      <c r="P44" s="39">
        <f t="shared" si="27"/>
        <v>2250000</v>
      </c>
      <c r="Q44" s="39">
        <f t="shared" si="27"/>
        <v>2250000</v>
      </c>
      <c r="R44" s="39">
        <f t="shared" si="27"/>
        <v>2250000</v>
      </c>
      <c r="S44" s="39">
        <f t="shared" si="27"/>
        <v>2250000</v>
      </c>
      <c r="T44" s="39">
        <f t="shared" si="27"/>
        <v>2250000</v>
      </c>
      <c r="U44" s="39">
        <f t="shared" si="27"/>
        <v>2250000</v>
      </c>
    </row>
    <row r="45" spans="1:21" ht="22.5" customHeight="1" x14ac:dyDescent="0.25">
      <c r="A45" s="35"/>
      <c r="B45" s="40" t="s">
        <v>199</v>
      </c>
      <c r="C45" s="36" t="s">
        <v>121</v>
      </c>
      <c r="D45" s="41">
        <f>D5</f>
        <v>5200</v>
      </c>
      <c r="E45" s="39">
        <f>E5*0.9</f>
        <v>2.7</v>
      </c>
      <c r="F45" s="39"/>
      <c r="G45" s="39">
        <f>F45</f>
        <v>0</v>
      </c>
      <c r="H45" s="39">
        <f>F45</f>
        <v>0</v>
      </c>
      <c r="I45" s="39">
        <f>E45*D45</f>
        <v>14040.000000000002</v>
      </c>
      <c r="J45" s="39">
        <f>I45</f>
        <v>14040.000000000002</v>
      </c>
      <c r="K45" s="39">
        <f t="shared" si="27"/>
        <v>14040.000000000002</v>
      </c>
      <c r="L45" s="39">
        <f t="shared" si="27"/>
        <v>14040.000000000002</v>
      </c>
      <c r="M45" s="39">
        <f t="shared" si="27"/>
        <v>14040.000000000002</v>
      </c>
      <c r="N45" s="39">
        <f t="shared" si="27"/>
        <v>14040.000000000002</v>
      </c>
      <c r="O45" s="39">
        <f t="shared" si="27"/>
        <v>14040.000000000002</v>
      </c>
      <c r="P45" s="39">
        <f t="shared" si="27"/>
        <v>14040.000000000002</v>
      </c>
      <c r="Q45" s="39">
        <f t="shared" si="27"/>
        <v>14040.000000000002</v>
      </c>
      <c r="R45" s="39">
        <f t="shared" si="27"/>
        <v>14040.000000000002</v>
      </c>
      <c r="S45" s="39">
        <f t="shared" si="27"/>
        <v>14040.000000000002</v>
      </c>
      <c r="T45" s="39">
        <f t="shared" si="27"/>
        <v>14040.000000000002</v>
      </c>
      <c r="U45" s="39">
        <f t="shared" si="27"/>
        <v>14040.000000000002</v>
      </c>
    </row>
    <row r="46" spans="1:21" x14ac:dyDescent="0.25">
      <c r="A46" s="35"/>
      <c r="B46" s="37" t="s">
        <v>21</v>
      </c>
      <c r="C46" s="36"/>
      <c r="D46" s="39"/>
      <c r="E46" s="39"/>
      <c r="F46" s="38">
        <f t="shared" ref="F46:U46" si="28">SUM(F44:F45)</f>
        <v>0</v>
      </c>
      <c r="G46" s="38">
        <f t="shared" si="28"/>
        <v>0</v>
      </c>
      <c r="H46" s="38">
        <f t="shared" si="28"/>
        <v>0</v>
      </c>
      <c r="I46" s="38">
        <f t="shared" si="28"/>
        <v>2264040</v>
      </c>
      <c r="J46" s="38">
        <f t="shared" si="28"/>
        <v>2264040</v>
      </c>
      <c r="K46" s="38">
        <f t="shared" si="28"/>
        <v>2264040</v>
      </c>
      <c r="L46" s="38">
        <f t="shared" si="28"/>
        <v>2264040</v>
      </c>
      <c r="M46" s="38">
        <f t="shared" si="28"/>
        <v>2264040</v>
      </c>
      <c r="N46" s="38">
        <f t="shared" si="28"/>
        <v>2264040</v>
      </c>
      <c r="O46" s="38">
        <f t="shared" si="28"/>
        <v>2264040</v>
      </c>
      <c r="P46" s="38">
        <f t="shared" si="28"/>
        <v>2264040</v>
      </c>
      <c r="Q46" s="38">
        <f t="shared" si="28"/>
        <v>2264040</v>
      </c>
      <c r="R46" s="38">
        <f t="shared" si="28"/>
        <v>2264040</v>
      </c>
      <c r="S46" s="38">
        <f t="shared" si="28"/>
        <v>2264040</v>
      </c>
      <c r="T46" s="38">
        <f t="shared" si="28"/>
        <v>2264040</v>
      </c>
      <c r="U46" s="38">
        <f t="shared" si="28"/>
        <v>2264040</v>
      </c>
    </row>
    <row r="47" spans="1:21" x14ac:dyDescent="0.25">
      <c r="A47" s="35"/>
      <c r="B47" s="36"/>
      <c r="C47" s="36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21" x14ac:dyDescent="0.25">
      <c r="A48" s="35"/>
      <c r="B48" s="42" t="s">
        <v>110</v>
      </c>
      <c r="C48" s="36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22" x14ac:dyDescent="0.25">
      <c r="A49" s="35"/>
      <c r="B49" s="37" t="s">
        <v>23</v>
      </c>
      <c r="C49" s="36"/>
      <c r="D49" s="39"/>
      <c r="E49" s="39"/>
      <c r="F49" s="43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22" x14ac:dyDescent="0.25">
      <c r="A50" s="35"/>
      <c r="B50" s="44" t="s">
        <v>119</v>
      </c>
      <c r="C50" s="36" t="s">
        <v>24</v>
      </c>
      <c r="D50" s="39">
        <f>D10</f>
        <v>10</v>
      </c>
      <c r="E50" s="39">
        <f>E10*0.9</f>
        <v>27000</v>
      </c>
      <c r="F50" s="39">
        <f>D50*E50</f>
        <v>270000</v>
      </c>
      <c r="G50" s="39">
        <f>D50*E50</f>
        <v>270000</v>
      </c>
      <c r="H50" s="39">
        <f>G50</f>
        <v>270000</v>
      </c>
      <c r="I50" s="39">
        <v>0</v>
      </c>
      <c r="J50" s="39">
        <v>0</v>
      </c>
      <c r="K50" s="39">
        <v>0</v>
      </c>
      <c r="L50" s="39"/>
      <c r="M50" s="39"/>
      <c r="N50" s="39"/>
      <c r="O50" s="39"/>
      <c r="P50" s="39"/>
    </row>
    <row r="51" spans="1:22" x14ac:dyDescent="0.25">
      <c r="A51" s="35"/>
      <c r="B51" s="44" t="s">
        <v>120</v>
      </c>
      <c r="C51" s="36" t="s">
        <v>25</v>
      </c>
      <c r="D51" s="39">
        <v>1</v>
      </c>
      <c r="E51" s="39">
        <f>E11*0.9</f>
        <v>3600000</v>
      </c>
      <c r="F51" s="39">
        <f t="shared" ref="F51" si="29">D51*E51</f>
        <v>3600000</v>
      </c>
      <c r="G51" s="39">
        <f>D51*E51</f>
        <v>3600000</v>
      </c>
      <c r="H51" s="39">
        <f>G51</f>
        <v>3600000</v>
      </c>
      <c r="I51" s="39">
        <v>0</v>
      </c>
      <c r="J51" s="39">
        <v>0</v>
      </c>
      <c r="K51" s="39">
        <v>0</v>
      </c>
      <c r="L51" s="39"/>
      <c r="M51" s="39"/>
      <c r="N51" s="39"/>
      <c r="O51" s="39"/>
      <c r="P51" s="39"/>
    </row>
    <row r="52" spans="1:22" x14ac:dyDescent="0.25">
      <c r="A52" s="35"/>
      <c r="B52" s="37" t="s">
        <v>26</v>
      </c>
      <c r="C52" s="36"/>
      <c r="D52" s="39"/>
      <c r="E52" s="39"/>
      <c r="F52" s="38">
        <f t="shared" ref="F52:K52" si="30">SUM(F50:F51)</f>
        <v>3870000</v>
      </c>
      <c r="G52" s="38">
        <f t="shared" si="30"/>
        <v>3870000</v>
      </c>
      <c r="H52" s="38">
        <f t="shared" si="30"/>
        <v>3870000</v>
      </c>
      <c r="I52" s="38">
        <f t="shared" si="30"/>
        <v>0</v>
      </c>
      <c r="J52" s="38">
        <f t="shared" si="30"/>
        <v>0</v>
      </c>
      <c r="K52" s="38">
        <f t="shared" si="30"/>
        <v>0</v>
      </c>
      <c r="L52" s="38"/>
      <c r="M52" s="38"/>
      <c r="N52" s="38"/>
      <c r="O52" s="38"/>
      <c r="P52" s="38"/>
    </row>
    <row r="53" spans="1:22" x14ac:dyDescent="0.25">
      <c r="A53" s="35"/>
      <c r="B53" s="36"/>
      <c r="C53" s="36"/>
      <c r="D53" s="39"/>
      <c r="E53" s="39"/>
      <c r="F53" s="39">
        <f t="shared" ref="F53:F54" si="31">D53*E53</f>
        <v>0</v>
      </c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22" x14ac:dyDescent="0.25">
      <c r="A54" s="35"/>
      <c r="B54" s="37" t="s">
        <v>115</v>
      </c>
      <c r="C54" s="36"/>
      <c r="D54" s="39"/>
      <c r="E54" s="39"/>
      <c r="F54" s="39">
        <f t="shared" si="31"/>
        <v>0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22" ht="30" x14ac:dyDescent="0.25">
      <c r="A55" s="35"/>
      <c r="B55" s="99" t="s">
        <v>211</v>
      </c>
      <c r="C55" s="36" t="s">
        <v>166</v>
      </c>
      <c r="D55" s="39">
        <v>10700</v>
      </c>
      <c r="E55" s="39">
        <f>E15</f>
        <v>1</v>
      </c>
      <c r="F55" s="39">
        <f>D55*E55</f>
        <v>10700</v>
      </c>
      <c r="G55" s="39">
        <f>F55</f>
        <v>10700</v>
      </c>
      <c r="H55" s="39">
        <f>F55</f>
        <v>10700</v>
      </c>
      <c r="I55" s="39">
        <f>H55</f>
        <v>10700</v>
      </c>
      <c r="J55" s="39">
        <f t="shared" ref="J55:U59" si="32">I55</f>
        <v>10700</v>
      </c>
      <c r="K55" s="39">
        <f t="shared" si="32"/>
        <v>10700</v>
      </c>
      <c r="L55" s="39">
        <f t="shared" si="32"/>
        <v>10700</v>
      </c>
      <c r="M55" s="39">
        <f t="shared" si="32"/>
        <v>10700</v>
      </c>
      <c r="N55" s="39">
        <f t="shared" si="32"/>
        <v>10700</v>
      </c>
      <c r="O55" s="39">
        <f t="shared" si="32"/>
        <v>10700</v>
      </c>
      <c r="P55" s="39">
        <f t="shared" si="32"/>
        <v>10700</v>
      </c>
      <c r="Q55" s="39">
        <f t="shared" si="32"/>
        <v>10700</v>
      </c>
      <c r="R55" s="39">
        <f t="shared" si="32"/>
        <v>10700</v>
      </c>
      <c r="S55" s="39">
        <f t="shared" si="32"/>
        <v>10700</v>
      </c>
      <c r="T55" s="39">
        <f t="shared" si="32"/>
        <v>10700</v>
      </c>
      <c r="U55" s="39">
        <f>T55*0.5</f>
        <v>5350</v>
      </c>
    </row>
    <row r="56" spans="1:22" x14ac:dyDescent="0.25">
      <c r="A56" s="35"/>
      <c r="B56" s="99"/>
      <c r="C56" s="36"/>
      <c r="D56" s="39">
        <f>D16*0.9</f>
        <v>0</v>
      </c>
      <c r="E56" s="39">
        <f>E16</f>
        <v>0</v>
      </c>
      <c r="F56" s="39">
        <f>D56*E56</f>
        <v>0</v>
      </c>
      <c r="G56" s="39">
        <f>F56</f>
        <v>0</v>
      </c>
      <c r="H56" s="39">
        <f>F56</f>
        <v>0</v>
      </c>
      <c r="I56" s="39">
        <f t="shared" ref="I56" si="33">H56</f>
        <v>0</v>
      </c>
      <c r="J56" s="39">
        <f t="shared" ref="J56" si="34">H56</f>
        <v>0</v>
      </c>
      <c r="K56" s="39">
        <f t="shared" si="32"/>
        <v>0</v>
      </c>
      <c r="L56" s="39">
        <f t="shared" ref="L56" si="35">J56</f>
        <v>0</v>
      </c>
      <c r="M56" s="39">
        <f t="shared" si="32"/>
        <v>0</v>
      </c>
      <c r="N56" s="39">
        <f t="shared" ref="N56" si="36">L56</f>
        <v>0</v>
      </c>
      <c r="O56" s="39">
        <f t="shared" si="32"/>
        <v>0</v>
      </c>
      <c r="P56" s="39">
        <f t="shared" ref="P56" si="37">N56</f>
        <v>0</v>
      </c>
      <c r="Q56" s="39">
        <f t="shared" si="32"/>
        <v>0</v>
      </c>
      <c r="R56" s="39">
        <f t="shared" ref="R56" si="38">P56</f>
        <v>0</v>
      </c>
      <c r="S56" s="39">
        <f t="shared" si="32"/>
        <v>0</v>
      </c>
      <c r="T56" s="39">
        <f t="shared" ref="T56" si="39">R56</f>
        <v>0</v>
      </c>
      <c r="U56" s="39">
        <f t="shared" si="32"/>
        <v>0</v>
      </c>
    </row>
    <row r="57" spans="1:22" x14ac:dyDescent="0.25">
      <c r="A57" s="35"/>
      <c r="B57" s="99"/>
      <c r="C57" s="36"/>
      <c r="D57" s="39"/>
      <c r="E57" s="39">
        <f>E17*0.9</f>
        <v>0</v>
      </c>
      <c r="F57" s="39">
        <f>F17*0.9</f>
        <v>0</v>
      </c>
      <c r="G57" s="39">
        <f>G17*0.9</f>
        <v>0</v>
      </c>
      <c r="H57" s="39">
        <f>F57</f>
        <v>0</v>
      </c>
      <c r="I57" s="39">
        <f>H57</f>
        <v>0</v>
      </c>
      <c r="J57" s="39">
        <f>I57</f>
        <v>0</v>
      </c>
      <c r="K57" s="39">
        <f t="shared" si="32"/>
        <v>0</v>
      </c>
      <c r="L57" s="39">
        <f t="shared" si="32"/>
        <v>0</v>
      </c>
      <c r="M57" s="39">
        <f t="shared" si="32"/>
        <v>0</v>
      </c>
      <c r="N57" s="39">
        <f t="shared" si="32"/>
        <v>0</v>
      </c>
      <c r="O57" s="39">
        <f t="shared" si="32"/>
        <v>0</v>
      </c>
      <c r="P57" s="39">
        <f t="shared" si="32"/>
        <v>0</v>
      </c>
      <c r="Q57" s="39">
        <f t="shared" si="32"/>
        <v>0</v>
      </c>
      <c r="R57" s="39">
        <f t="shared" si="32"/>
        <v>0</v>
      </c>
      <c r="S57" s="39">
        <f t="shared" si="32"/>
        <v>0</v>
      </c>
      <c r="T57" s="39">
        <f t="shared" si="32"/>
        <v>0</v>
      </c>
      <c r="U57" s="39">
        <f t="shared" si="32"/>
        <v>0</v>
      </c>
      <c r="V57" s="45"/>
    </row>
    <row r="58" spans="1:22" ht="21" customHeight="1" x14ac:dyDescent="0.25">
      <c r="A58" s="35"/>
      <c r="B58" s="99"/>
      <c r="C58" s="36"/>
      <c r="D58" s="39"/>
      <c r="E58" s="39"/>
      <c r="F58" s="39">
        <f>F18*0.9</f>
        <v>0</v>
      </c>
      <c r="G58" s="39">
        <f>F58</f>
        <v>0</v>
      </c>
      <c r="H58" s="39">
        <f>G58</f>
        <v>0</v>
      </c>
      <c r="I58" s="39">
        <f t="shared" ref="I58:K59" si="40">H58</f>
        <v>0</v>
      </c>
      <c r="J58" s="39">
        <f t="shared" si="40"/>
        <v>0</v>
      </c>
      <c r="K58" s="39">
        <f t="shared" si="32"/>
        <v>0</v>
      </c>
      <c r="L58" s="39">
        <f t="shared" si="32"/>
        <v>0</v>
      </c>
      <c r="M58" s="39">
        <f t="shared" si="32"/>
        <v>0</v>
      </c>
      <c r="N58" s="39">
        <f t="shared" si="32"/>
        <v>0</v>
      </c>
      <c r="O58" s="39">
        <f t="shared" si="32"/>
        <v>0</v>
      </c>
      <c r="P58" s="39">
        <f t="shared" si="32"/>
        <v>0</v>
      </c>
      <c r="Q58" s="39">
        <f t="shared" si="32"/>
        <v>0</v>
      </c>
      <c r="R58" s="39">
        <f t="shared" si="32"/>
        <v>0</v>
      </c>
      <c r="S58" s="39">
        <f t="shared" si="32"/>
        <v>0</v>
      </c>
      <c r="T58" s="39">
        <f t="shared" si="32"/>
        <v>0</v>
      </c>
      <c r="U58" s="39">
        <f t="shared" si="32"/>
        <v>0</v>
      </c>
      <c r="V58" s="45"/>
    </row>
    <row r="59" spans="1:22" x14ac:dyDescent="0.25">
      <c r="A59" s="35"/>
      <c r="B59" s="99"/>
      <c r="C59" s="36"/>
      <c r="D59" s="39">
        <v>1</v>
      </c>
      <c r="E59" s="39">
        <f>E19*0.9</f>
        <v>0</v>
      </c>
      <c r="F59" s="39">
        <f>F19*0.9</f>
        <v>0</v>
      </c>
      <c r="G59" s="39">
        <f>G19*0.9</f>
        <v>0</v>
      </c>
      <c r="H59" s="39">
        <f>G59</f>
        <v>0</v>
      </c>
      <c r="I59" s="39">
        <f t="shared" si="40"/>
        <v>0</v>
      </c>
      <c r="J59" s="39">
        <f t="shared" si="40"/>
        <v>0</v>
      </c>
      <c r="K59" s="39">
        <f t="shared" si="40"/>
        <v>0</v>
      </c>
      <c r="L59" s="39">
        <f t="shared" si="32"/>
        <v>0</v>
      </c>
      <c r="M59" s="39">
        <f t="shared" si="32"/>
        <v>0</v>
      </c>
      <c r="N59" s="39">
        <f t="shared" si="32"/>
        <v>0</v>
      </c>
      <c r="O59" s="39">
        <f t="shared" si="32"/>
        <v>0</v>
      </c>
      <c r="P59" s="39">
        <f t="shared" si="32"/>
        <v>0</v>
      </c>
      <c r="Q59" s="39">
        <f t="shared" si="32"/>
        <v>0</v>
      </c>
      <c r="R59" s="39">
        <f t="shared" si="32"/>
        <v>0</v>
      </c>
      <c r="S59" s="39">
        <f t="shared" si="32"/>
        <v>0</v>
      </c>
      <c r="T59" s="39">
        <f t="shared" si="32"/>
        <v>0</v>
      </c>
      <c r="U59" s="39">
        <f t="shared" si="32"/>
        <v>0</v>
      </c>
    </row>
    <row r="60" spans="1:22" x14ac:dyDescent="0.25">
      <c r="A60" s="35"/>
      <c r="B60" s="37" t="s">
        <v>28</v>
      </c>
      <c r="C60" s="36"/>
      <c r="D60" s="39"/>
      <c r="E60" s="39"/>
      <c r="F60" s="38">
        <f t="shared" ref="F60:U60" si="41">SUM(F55:F59)</f>
        <v>10700</v>
      </c>
      <c r="G60" s="38">
        <f t="shared" si="41"/>
        <v>10700</v>
      </c>
      <c r="H60" s="38">
        <f t="shared" si="41"/>
        <v>10700</v>
      </c>
      <c r="I60" s="38">
        <f t="shared" si="41"/>
        <v>10700</v>
      </c>
      <c r="J60" s="38">
        <f t="shared" si="41"/>
        <v>10700</v>
      </c>
      <c r="K60" s="38">
        <f t="shared" si="41"/>
        <v>10700</v>
      </c>
      <c r="L60" s="38">
        <f t="shared" si="41"/>
        <v>10700</v>
      </c>
      <c r="M60" s="38">
        <f t="shared" si="41"/>
        <v>10700</v>
      </c>
      <c r="N60" s="38">
        <f t="shared" si="41"/>
        <v>10700</v>
      </c>
      <c r="O60" s="38">
        <f t="shared" si="41"/>
        <v>10700</v>
      </c>
      <c r="P60" s="38">
        <f t="shared" si="41"/>
        <v>10700</v>
      </c>
      <c r="Q60" s="38">
        <f t="shared" si="41"/>
        <v>10700</v>
      </c>
      <c r="R60" s="38">
        <f t="shared" si="41"/>
        <v>10700</v>
      </c>
      <c r="S60" s="38">
        <f t="shared" si="41"/>
        <v>10700</v>
      </c>
      <c r="T60" s="38">
        <f t="shared" si="41"/>
        <v>10700</v>
      </c>
      <c r="U60" s="38">
        <f t="shared" si="41"/>
        <v>5350</v>
      </c>
    </row>
    <row r="61" spans="1:22" x14ac:dyDescent="0.25">
      <c r="A61" s="35"/>
      <c r="B61" s="46"/>
      <c r="C61" s="36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22" x14ac:dyDescent="0.25">
      <c r="A62" s="35"/>
      <c r="B62" s="37" t="s">
        <v>29</v>
      </c>
      <c r="C62" s="36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22" x14ac:dyDescent="0.25">
      <c r="A63" s="35"/>
      <c r="B63" s="36" t="s">
        <v>30</v>
      </c>
      <c r="C63" s="36"/>
      <c r="D63" s="39"/>
      <c r="E63" s="39"/>
      <c r="F63" s="39">
        <f>E23</f>
        <v>266666.66666666669</v>
      </c>
      <c r="G63" s="39">
        <f>F63</f>
        <v>266666.66666666669</v>
      </c>
      <c r="H63" s="39">
        <f t="shared" ref="H63:U63" si="42">G63</f>
        <v>266666.66666666669</v>
      </c>
      <c r="I63" s="39">
        <f t="shared" si="42"/>
        <v>266666.66666666669</v>
      </c>
      <c r="J63" s="39">
        <f t="shared" si="42"/>
        <v>266666.66666666669</v>
      </c>
      <c r="K63" s="39">
        <f t="shared" si="42"/>
        <v>266666.66666666669</v>
      </c>
      <c r="L63" s="39">
        <f t="shared" si="42"/>
        <v>266666.66666666669</v>
      </c>
      <c r="M63" s="39">
        <f t="shared" si="42"/>
        <v>266666.66666666669</v>
      </c>
      <c r="N63" s="39">
        <f t="shared" si="42"/>
        <v>266666.66666666669</v>
      </c>
      <c r="O63" s="39">
        <f t="shared" si="42"/>
        <v>266666.66666666669</v>
      </c>
      <c r="P63" s="39">
        <f t="shared" si="42"/>
        <v>266666.66666666669</v>
      </c>
      <c r="Q63" s="39">
        <f t="shared" si="42"/>
        <v>266666.66666666669</v>
      </c>
      <c r="R63" s="39">
        <f t="shared" si="42"/>
        <v>266666.66666666669</v>
      </c>
      <c r="S63" s="39">
        <f t="shared" si="42"/>
        <v>266666.66666666669</v>
      </c>
      <c r="T63" s="39">
        <f t="shared" si="42"/>
        <v>266666.66666666669</v>
      </c>
      <c r="U63" s="39">
        <f t="shared" si="42"/>
        <v>266666.66666666669</v>
      </c>
      <c r="V63" s="47">
        <f>SUM(H63:U63)</f>
        <v>3733333.3333333326</v>
      </c>
    </row>
    <row r="64" spans="1:22" x14ac:dyDescent="0.25">
      <c r="A64" s="35"/>
      <c r="B64" s="37" t="s">
        <v>31</v>
      </c>
      <c r="C64" s="36"/>
      <c r="D64" s="39"/>
      <c r="E64" s="39"/>
      <c r="F64" s="38">
        <f>F24*0.9</f>
        <v>387000</v>
      </c>
      <c r="G64" s="38">
        <f>F64</f>
        <v>387000</v>
      </c>
      <c r="H64" s="38">
        <f t="shared" ref="H64" si="43">G64</f>
        <v>387000</v>
      </c>
      <c r="I64" s="38">
        <f t="shared" ref="I64:U64" si="44">H64</f>
        <v>387000</v>
      </c>
      <c r="J64" s="38">
        <f t="shared" si="44"/>
        <v>387000</v>
      </c>
      <c r="K64" s="38">
        <f t="shared" si="44"/>
        <v>387000</v>
      </c>
      <c r="L64" s="38">
        <f t="shared" si="44"/>
        <v>387000</v>
      </c>
      <c r="M64" s="38">
        <f t="shared" si="44"/>
        <v>387000</v>
      </c>
      <c r="N64" s="38">
        <f t="shared" si="44"/>
        <v>387000</v>
      </c>
      <c r="O64" s="38">
        <f t="shared" si="44"/>
        <v>387000</v>
      </c>
      <c r="P64" s="38">
        <f t="shared" si="44"/>
        <v>387000</v>
      </c>
      <c r="Q64" s="38">
        <f t="shared" si="44"/>
        <v>387000</v>
      </c>
      <c r="R64" s="38">
        <f t="shared" si="44"/>
        <v>387000</v>
      </c>
      <c r="S64" s="38">
        <f t="shared" si="44"/>
        <v>387000</v>
      </c>
      <c r="T64" s="38">
        <f t="shared" si="44"/>
        <v>387000</v>
      </c>
      <c r="U64" s="38">
        <f t="shared" si="44"/>
        <v>387000</v>
      </c>
    </row>
    <row r="65" spans="1:21" x14ac:dyDescent="0.25">
      <c r="A65" s="35"/>
      <c r="B65" s="37" t="s">
        <v>32</v>
      </c>
      <c r="C65" s="36"/>
      <c r="D65" s="39"/>
      <c r="E65" s="39"/>
      <c r="F65" s="38">
        <f t="shared" ref="F65:U65" si="45">F52+F60+F64</f>
        <v>4267700</v>
      </c>
      <c r="G65" s="38">
        <f t="shared" si="45"/>
        <v>4267700</v>
      </c>
      <c r="H65" s="38">
        <f t="shared" si="45"/>
        <v>4267700</v>
      </c>
      <c r="I65" s="38">
        <f t="shared" si="45"/>
        <v>397700</v>
      </c>
      <c r="J65" s="38">
        <f t="shared" si="45"/>
        <v>397700</v>
      </c>
      <c r="K65" s="38">
        <f t="shared" si="45"/>
        <v>397700</v>
      </c>
      <c r="L65" s="38">
        <f t="shared" si="45"/>
        <v>397700</v>
      </c>
      <c r="M65" s="38">
        <f t="shared" si="45"/>
        <v>397700</v>
      </c>
      <c r="N65" s="38">
        <f t="shared" si="45"/>
        <v>397700</v>
      </c>
      <c r="O65" s="38">
        <f t="shared" si="45"/>
        <v>397700</v>
      </c>
      <c r="P65" s="38">
        <f t="shared" si="45"/>
        <v>397700</v>
      </c>
      <c r="Q65" s="38">
        <f t="shared" si="45"/>
        <v>397700</v>
      </c>
      <c r="R65" s="38">
        <f t="shared" si="45"/>
        <v>397700</v>
      </c>
      <c r="S65" s="38">
        <f t="shared" si="45"/>
        <v>397700</v>
      </c>
      <c r="T65" s="38">
        <f t="shared" si="45"/>
        <v>397700</v>
      </c>
      <c r="U65" s="38">
        <f t="shared" si="45"/>
        <v>392350</v>
      </c>
    </row>
    <row r="66" spans="1:21" x14ac:dyDescent="0.25">
      <c r="A66" s="35"/>
      <c r="B66" s="37"/>
      <c r="C66" s="36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21" x14ac:dyDescent="0.25">
      <c r="A67" s="35"/>
      <c r="B67" s="37" t="s">
        <v>33</v>
      </c>
      <c r="C67" s="36" t="s">
        <v>207</v>
      </c>
      <c r="D67" s="39"/>
      <c r="E67" s="39"/>
      <c r="F67" s="39"/>
      <c r="G67" s="38"/>
      <c r="H67" s="38"/>
      <c r="I67" s="38">
        <f t="shared" ref="I67:U67" si="46">I46-I52-I60</f>
        <v>2253340</v>
      </c>
      <c r="J67" s="38">
        <f t="shared" si="46"/>
        <v>2253340</v>
      </c>
      <c r="K67" s="38">
        <f t="shared" si="46"/>
        <v>2253340</v>
      </c>
      <c r="L67" s="38">
        <f t="shared" si="46"/>
        <v>2253340</v>
      </c>
      <c r="M67" s="38">
        <f t="shared" si="46"/>
        <v>2253340</v>
      </c>
      <c r="N67" s="38">
        <f t="shared" si="46"/>
        <v>2253340</v>
      </c>
      <c r="O67" s="38">
        <f t="shared" si="46"/>
        <v>2253340</v>
      </c>
      <c r="P67" s="38">
        <f t="shared" si="46"/>
        <v>2253340</v>
      </c>
      <c r="Q67" s="38">
        <f t="shared" si="46"/>
        <v>2253340</v>
      </c>
      <c r="R67" s="38">
        <f t="shared" si="46"/>
        <v>2253340</v>
      </c>
      <c r="S67" s="38">
        <f t="shared" si="46"/>
        <v>2253340</v>
      </c>
      <c r="T67" s="38">
        <f t="shared" si="46"/>
        <v>2253340</v>
      </c>
      <c r="U67" s="38">
        <f t="shared" si="46"/>
        <v>2258690</v>
      </c>
    </row>
    <row r="68" spans="1:21" x14ac:dyDescent="0.25">
      <c r="A68" s="35"/>
      <c r="B68" s="37" t="s">
        <v>34</v>
      </c>
      <c r="C68" s="36" t="s">
        <v>216</v>
      </c>
      <c r="D68" s="39"/>
      <c r="E68" s="39"/>
      <c r="F68" s="39"/>
      <c r="G68" s="38">
        <f>H68</f>
        <v>1866340</v>
      </c>
      <c r="H68" s="38">
        <f>I68</f>
        <v>1866340</v>
      </c>
      <c r="I68" s="38">
        <f>I67-I64</f>
        <v>1866340</v>
      </c>
      <c r="J68" s="38">
        <f>-(J67-J64)</f>
        <v>-1866340</v>
      </c>
      <c r="K68" s="38">
        <f>K67-K64</f>
        <v>1866340</v>
      </c>
      <c r="L68" s="38">
        <f>-(L67-L64)</f>
        <v>-1866340</v>
      </c>
      <c r="M68" s="38">
        <f>-(M67-M64)</f>
        <v>-1866340</v>
      </c>
      <c r="N68" s="38">
        <f>-(N67-N64)</f>
        <v>-1866340</v>
      </c>
      <c r="O68" s="38">
        <f>N68</f>
        <v>-1866340</v>
      </c>
      <c r="P68" s="38">
        <f>O68</f>
        <v>-1866340</v>
      </c>
      <c r="Q68" s="38">
        <f t="shared" ref="Q68:U68" si="47">P68</f>
        <v>-1866340</v>
      </c>
      <c r="R68" s="38">
        <f t="shared" si="47"/>
        <v>-1866340</v>
      </c>
      <c r="S68" s="38">
        <f t="shared" si="47"/>
        <v>-1866340</v>
      </c>
      <c r="T68" s="38">
        <f t="shared" si="47"/>
        <v>-1866340</v>
      </c>
      <c r="U68" s="38">
        <f t="shared" si="47"/>
        <v>-1866340</v>
      </c>
    </row>
    <row r="69" spans="1:21" x14ac:dyDescent="0.25">
      <c r="A69" s="1"/>
      <c r="B69" s="116" t="s">
        <v>38</v>
      </c>
      <c r="C69" s="117"/>
      <c r="D69" s="117"/>
      <c r="E69" s="117"/>
      <c r="F69" s="118"/>
      <c r="G69" s="52">
        <f>IRR(G68:U68)</f>
        <v>0.16945185122815221</v>
      </c>
      <c r="H69" s="53"/>
      <c r="I69" s="53"/>
      <c r="J69" s="53"/>
      <c r="K69" s="53"/>
      <c r="L69" s="53"/>
      <c r="M69" s="53"/>
      <c r="N69" s="53"/>
      <c r="O69" s="53"/>
      <c r="P69" s="53"/>
    </row>
    <row r="70" spans="1:21" x14ac:dyDescent="0.25">
      <c r="A70" s="1"/>
      <c r="B70" s="116" t="s">
        <v>39</v>
      </c>
      <c r="C70" s="117"/>
      <c r="D70" s="117"/>
      <c r="E70" s="117"/>
      <c r="F70" s="118"/>
      <c r="G70" s="54">
        <f>-(NPV(0.1,G68:U68))</f>
        <v>2595207.1319401115</v>
      </c>
      <c r="H70" s="53"/>
      <c r="I70" s="53"/>
      <c r="J70" s="53"/>
      <c r="K70" s="53"/>
      <c r="L70" s="53"/>
      <c r="M70" s="53"/>
      <c r="N70" s="53"/>
      <c r="O70" s="53"/>
      <c r="P70" s="53"/>
    </row>
    <row r="71" spans="1:21" x14ac:dyDescent="0.25">
      <c r="A71" s="1"/>
      <c r="B71" s="111"/>
      <c r="C71" s="111"/>
      <c r="D71" s="111"/>
      <c r="E71" s="111"/>
      <c r="F71" s="111"/>
      <c r="G71" s="55"/>
      <c r="H71" s="56"/>
      <c r="I71" s="56"/>
      <c r="J71" s="56"/>
      <c r="K71" s="56"/>
      <c r="L71" s="56"/>
      <c r="M71" s="56"/>
      <c r="N71" s="56"/>
      <c r="O71" s="56"/>
      <c r="P71" s="56"/>
    </row>
    <row r="72" spans="1:21" x14ac:dyDescent="0.25">
      <c r="A72" s="1"/>
      <c r="B72" s="111"/>
      <c r="C72" s="112"/>
      <c r="D72" s="112"/>
      <c r="E72" s="112"/>
      <c r="F72" s="112"/>
      <c r="G72" s="57"/>
      <c r="H72" s="56"/>
      <c r="I72" s="56"/>
      <c r="J72" s="56"/>
      <c r="K72" s="56"/>
      <c r="L72" s="56"/>
      <c r="M72" s="56"/>
      <c r="N72" s="56"/>
      <c r="O72" s="56"/>
      <c r="P72" s="56"/>
    </row>
    <row r="73" spans="1:21" x14ac:dyDescent="0.25">
      <c r="A73" s="1"/>
      <c r="B73" s="111"/>
      <c r="C73" s="112"/>
      <c r="D73" s="112"/>
      <c r="E73" s="112"/>
      <c r="F73" s="112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</row>
    <row r="74" spans="1:21" x14ac:dyDescent="0.25">
      <c r="A74" s="1"/>
      <c r="B74" s="109"/>
      <c r="C74" s="110"/>
      <c r="D74" s="110"/>
      <c r="E74" s="110"/>
      <c r="F74" s="110"/>
      <c r="G74" s="52"/>
      <c r="H74" s="56"/>
      <c r="I74" s="56"/>
      <c r="J74" s="56"/>
      <c r="K74" s="56"/>
      <c r="L74" s="56"/>
      <c r="M74" s="56"/>
      <c r="N74" s="56"/>
      <c r="O74" s="56"/>
      <c r="P74" s="56"/>
    </row>
    <row r="75" spans="1:21" x14ac:dyDescent="0.25">
      <c r="A75" s="1"/>
      <c r="B75" s="109"/>
      <c r="C75" s="110"/>
      <c r="D75" s="110"/>
      <c r="E75" s="110"/>
      <c r="F75" s="110"/>
      <c r="G75" s="54"/>
      <c r="H75" s="56"/>
      <c r="I75" s="56"/>
      <c r="J75" s="56"/>
      <c r="K75" s="56"/>
      <c r="L75" s="56"/>
      <c r="M75" s="56"/>
      <c r="N75" s="56"/>
      <c r="O75" s="56"/>
      <c r="P75" s="56"/>
    </row>
    <row r="79" spans="1:21" x14ac:dyDescent="0.25">
      <c r="B79" s="59"/>
    </row>
    <row r="80" spans="1:21" x14ac:dyDescent="0.25">
      <c r="B80" s="59"/>
    </row>
    <row r="81" spans="2:2" x14ac:dyDescent="0.25">
      <c r="B81" s="59"/>
    </row>
    <row r="82" spans="2:2" x14ac:dyDescent="0.25">
      <c r="B82" s="59"/>
    </row>
    <row r="83" spans="2:2" x14ac:dyDescent="0.25">
      <c r="B83" s="59"/>
    </row>
    <row r="84" spans="2:2" x14ac:dyDescent="0.25">
      <c r="B84" s="59"/>
    </row>
    <row r="85" spans="2:2" x14ac:dyDescent="0.25">
      <c r="B85" s="59"/>
    </row>
    <row r="86" spans="2:2" x14ac:dyDescent="0.25">
      <c r="B86" s="59"/>
    </row>
  </sheetData>
  <mergeCells count="20">
    <mergeCell ref="G42:P42"/>
    <mergeCell ref="B1:P1"/>
    <mergeCell ref="G2:P2"/>
    <mergeCell ref="D3:F3"/>
    <mergeCell ref="B29:F29"/>
    <mergeCell ref="B30:F30"/>
    <mergeCell ref="B31:F31"/>
    <mergeCell ref="B32:F32"/>
    <mergeCell ref="B33:F33"/>
    <mergeCell ref="B34:F34"/>
    <mergeCell ref="B35:F35"/>
    <mergeCell ref="B41:P41"/>
    <mergeCell ref="B74:F74"/>
    <mergeCell ref="B75:F75"/>
    <mergeCell ref="D43:F43"/>
    <mergeCell ref="B69:F69"/>
    <mergeCell ref="B70:F70"/>
    <mergeCell ref="B71:F71"/>
    <mergeCell ref="B72:F72"/>
    <mergeCell ref="B73:F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BB1A-833E-474D-A6A0-DF65F42F0F1D}">
  <dimension ref="A1:V65"/>
  <sheetViews>
    <sheetView workbookViewId="0">
      <selection activeCell="B1" sqref="B1:P1"/>
    </sheetView>
  </sheetViews>
  <sheetFormatPr defaultColWidth="15.7109375" defaultRowHeight="15" x14ac:dyDescent="0.25"/>
  <cols>
    <col min="2" max="2" width="26.85546875" customWidth="1"/>
  </cols>
  <sheetData>
    <row r="1" spans="1:21" x14ac:dyDescent="0.25">
      <c r="A1" s="35"/>
      <c r="B1" s="113" t="s">
        <v>13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21" x14ac:dyDescent="0.25">
      <c r="A2" s="35"/>
      <c r="B2" s="36"/>
      <c r="C2" s="37" t="s">
        <v>14</v>
      </c>
      <c r="D2" s="38" t="s">
        <v>15</v>
      </c>
      <c r="E2" s="38" t="s">
        <v>16</v>
      </c>
      <c r="F2" s="38" t="s">
        <v>17</v>
      </c>
      <c r="G2" s="114" t="s">
        <v>18</v>
      </c>
      <c r="H2" s="115"/>
      <c r="I2" s="115"/>
      <c r="J2" s="115"/>
      <c r="K2" s="115"/>
      <c r="L2" s="115"/>
      <c r="M2" s="115"/>
      <c r="N2" s="115"/>
      <c r="O2" s="115"/>
      <c r="P2" s="115"/>
    </row>
    <row r="3" spans="1:21" x14ac:dyDescent="0.25">
      <c r="A3" s="35"/>
      <c r="B3" s="37" t="s">
        <v>19</v>
      </c>
      <c r="C3" s="36"/>
      <c r="D3" s="39"/>
      <c r="E3" s="39"/>
      <c r="F3" s="39"/>
      <c r="G3" s="39">
        <v>1</v>
      </c>
      <c r="H3" s="39">
        <f t="shared" ref="H3:P3" si="0">G3+1</f>
        <v>2</v>
      </c>
      <c r="I3" s="39">
        <f t="shared" si="0"/>
        <v>3</v>
      </c>
      <c r="J3" s="39">
        <f t="shared" si="0"/>
        <v>4</v>
      </c>
      <c r="K3" s="39">
        <f t="shared" si="0"/>
        <v>5</v>
      </c>
      <c r="L3" s="39">
        <f t="shared" si="0"/>
        <v>6</v>
      </c>
      <c r="M3" s="39">
        <f t="shared" si="0"/>
        <v>7</v>
      </c>
      <c r="N3" s="39">
        <f t="shared" si="0"/>
        <v>8</v>
      </c>
      <c r="O3" s="39">
        <f t="shared" si="0"/>
        <v>9</v>
      </c>
      <c r="P3" s="39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35.25" customHeight="1" x14ac:dyDescent="0.25">
      <c r="A4" s="35"/>
      <c r="B4" s="60" t="s">
        <v>200</v>
      </c>
      <c r="C4" s="36" t="s">
        <v>116</v>
      </c>
      <c r="D4" s="39">
        <v>40000</v>
      </c>
      <c r="E4" s="39">
        <v>3</v>
      </c>
      <c r="F4" s="39">
        <f>D4*E4</f>
        <v>120000</v>
      </c>
      <c r="G4" s="39"/>
      <c r="H4" s="39">
        <f>F4</f>
        <v>120000</v>
      </c>
      <c r="I4" s="39">
        <f>F4</f>
        <v>120000</v>
      </c>
      <c r="J4" s="39">
        <f>F4</f>
        <v>120000</v>
      </c>
      <c r="K4" s="39">
        <f t="shared" ref="K4:U5" si="1">J4</f>
        <v>120000</v>
      </c>
      <c r="L4" s="39">
        <f t="shared" si="1"/>
        <v>120000</v>
      </c>
      <c r="M4" s="39">
        <f t="shared" si="1"/>
        <v>120000</v>
      </c>
      <c r="N4" s="39">
        <f t="shared" si="1"/>
        <v>120000</v>
      </c>
      <c r="O4" s="39">
        <f t="shared" si="1"/>
        <v>120000</v>
      </c>
      <c r="P4" s="39">
        <f t="shared" si="1"/>
        <v>120000</v>
      </c>
      <c r="Q4" s="39">
        <f t="shared" si="1"/>
        <v>120000</v>
      </c>
      <c r="R4" s="39">
        <f t="shared" si="1"/>
        <v>120000</v>
      </c>
      <c r="S4" s="39">
        <f t="shared" si="1"/>
        <v>120000</v>
      </c>
      <c r="T4" s="39">
        <f t="shared" si="1"/>
        <v>120000</v>
      </c>
      <c r="U4" s="39">
        <f t="shared" si="1"/>
        <v>120000</v>
      </c>
    </row>
    <row r="5" spans="1:21" x14ac:dyDescent="0.25">
      <c r="A5" s="35"/>
      <c r="B5" s="61" t="s">
        <v>125</v>
      </c>
      <c r="C5" s="36" t="s">
        <v>127</v>
      </c>
      <c r="D5" s="39">
        <v>5000</v>
      </c>
      <c r="E5" s="39">
        <v>10</v>
      </c>
      <c r="F5" s="39">
        <f>D5*E5</f>
        <v>50000</v>
      </c>
      <c r="G5" s="39">
        <f>F5</f>
        <v>50000</v>
      </c>
      <c r="H5" s="39">
        <f>D5*E5</f>
        <v>50000</v>
      </c>
      <c r="I5" s="39">
        <f>D5*E5</f>
        <v>50000</v>
      </c>
      <c r="J5" s="39">
        <f>D5*E5</f>
        <v>50000</v>
      </c>
      <c r="K5" s="39">
        <f t="shared" si="1"/>
        <v>50000</v>
      </c>
      <c r="L5" s="39">
        <f t="shared" si="1"/>
        <v>50000</v>
      </c>
      <c r="M5" s="39">
        <f t="shared" si="1"/>
        <v>50000</v>
      </c>
      <c r="N5" s="39">
        <f t="shared" si="1"/>
        <v>50000</v>
      </c>
      <c r="O5" s="39">
        <f t="shared" si="1"/>
        <v>50000</v>
      </c>
      <c r="P5" s="39">
        <f t="shared" si="1"/>
        <v>50000</v>
      </c>
      <c r="Q5" s="39">
        <f t="shared" si="1"/>
        <v>50000</v>
      </c>
      <c r="R5" s="39">
        <f t="shared" si="1"/>
        <v>50000</v>
      </c>
      <c r="S5" s="39">
        <f t="shared" si="1"/>
        <v>50000</v>
      </c>
      <c r="T5" s="39">
        <f t="shared" si="1"/>
        <v>50000</v>
      </c>
      <c r="U5" s="39">
        <f t="shared" si="1"/>
        <v>50000</v>
      </c>
    </row>
    <row r="6" spans="1:21" x14ac:dyDescent="0.25">
      <c r="A6" s="35"/>
      <c r="B6" s="61" t="s">
        <v>126</v>
      </c>
      <c r="C6" s="36" t="s">
        <v>25</v>
      </c>
      <c r="D6" s="39">
        <v>0</v>
      </c>
      <c r="E6" s="39">
        <v>0</v>
      </c>
      <c r="F6" s="39">
        <f>E6*D6</f>
        <v>0</v>
      </c>
      <c r="G6" s="39"/>
      <c r="H6" s="39"/>
      <c r="I6" s="39"/>
      <c r="J6" s="39">
        <f>F6</f>
        <v>0</v>
      </c>
      <c r="K6" s="39">
        <f>J6</f>
        <v>0</v>
      </c>
      <c r="L6" s="39">
        <f>K6</f>
        <v>0</v>
      </c>
      <c r="M6" s="39">
        <f>L6</f>
        <v>0</v>
      </c>
      <c r="N6" s="39">
        <f t="shared" ref="N6:U6" si="2">J6</f>
        <v>0</v>
      </c>
      <c r="O6" s="39">
        <f t="shared" si="2"/>
        <v>0</v>
      </c>
      <c r="P6" s="39">
        <f t="shared" si="2"/>
        <v>0</v>
      </c>
      <c r="Q6" s="39">
        <f t="shared" si="2"/>
        <v>0</v>
      </c>
      <c r="R6" s="39">
        <f t="shared" si="2"/>
        <v>0</v>
      </c>
      <c r="S6" s="39">
        <f t="shared" si="2"/>
        <v>0</v>
      </c>
      <c r="T6" s="39">
        <f t="shared" si="2"/>
        <v>0</v>
      </c>
      <c r="U6" s="39">
        <f t="shared" si="2"/>
        <v>0</v>
      </c>
    </row>
    <row r="7" spans="1:21" x14ac:dyDescent="0.25">
      <c r="A7" s="35"/>
      <c r="B7" s="37" t="s">
        <v>21</v>
      </c>
      <c r="C7" s="36"/>
      <c r="D7" s="39"/>
      <c r="E7" s="39"/>
      <c r="F7" s="38">
        <f t="shared" ref="F7:U7" si="3">SUM(F4:F6)</f>
        <v>170000</v>
      </c>
      <c r="G7" s="38">
        <f t="shared" si="3"/>
        <v>50000</v>
      </c>
      <c r="H7" s="38">
        <f t="shared" si="3"/>
        <v>170000</v>
      </c>
      <c r="I7" s="38">
        <f t="shared" si="3"/>
        <v>170000</v>
      </c>
      <c r="J7" s="38">
        <f t="shared" si="3"/>
        <v>170000</v>
      </c>
      <c r="K7" s="38">
        <f t="shared" si="3"/>
        <v>170000</v>
      </c>
      <c r="L7" s="38">
        <f t="shared" si="3"/>
        <v>170000</v>
      </c>
      <c r="M7" s="38">
        <f t="shared" si="3"/>
        <v>170000</v>
      </c>
      <c r="N7" s="38">
        <f t="shared" si="3"/>
        <v>170000</v>
      </c>
      <c r="O7" s="38">
        <f t="shared" si="3"/>
        <v>170000</v>
      </c>
      <c r="P7" s="38">
        <f t="shared" si="3"/>
        <v>170000</v>
      </c>
      <c r="Q7" s="38">
        <f t="shared" si="3"/>
        <v>170000</v>
      </c>
      <c r="R7" s="38">
        <f t="shared" si="3"/>
        <v>170000</v>
      </c>
      <c r="S7" s="38">
        <f t="shared" si="3"/>
        <v>170000</v>
      </c>
      <c r="T7" s="38">
        <f t="shared" si="3"/>
        <v>170000</v>
      </c>
      <c r="U7" s="38">
        <f t="shared" si="3"/>
        <v>170000</v>
      </c>
    </row>
    <row r="8" spans="1:21" x14ac:dyDescent="0.25">
      <c r="A8" s="35"/>
      <c r="B8" s="36"/>
      <c r="C8" s="36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21" x14ac:dyDescent="0.25">
      <c r="A9" s="35"/>
      <c r="B9" s="42" t="s">
        <v>110</v>
      </c>
      <c r="C9" s="36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21" x14ac:dyDescent="0.25">
      <c r="A10" s="35"/>
      <c r="B10" s="37" t="s">
        <v>23</v>
      </c>
      <c r="C10" s="36"/>
      <c r="D10" s="39"/>
      <c r="E10" s="39"/>
      <c r="F10" s="43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21" x14ac:dyDescent="0.25">
      <c r="A11" s="35"/>
      <c r="B11" s="62" t="s">
        <v>122</v>
      </c>
      <c r="C11" s="36" t="s">
        <v>25</v>
      </c>
      <c r="D11" s="39">
        <v>1</v>
      </c>
      <c r="E11" s="39">
        <v>200000</v>
      </c>
      <c r="F11" s="39">
        <f>D11*E11</f>
        <v>200000</v>
      </c>
      <c r="G11" s="39">
        <f>D11*E11</f>
        <v>200000</v>
      </c>
      <c r="H11" s="39">
        <v>0</v>
      </c>
      <c r="I11" s="39">
        <v>0</v>
      </c>
      <c r="J11" s="39">
        <v>0</v>
      </c>
      <c r="K11" s="39"/>
      <c r="L11" s="39"/>
      <c r="M11" s="39"/>
      <c r="N11" s="39"/>
      <c r="O11" s="39"/>
      <c r="P11" s="39">
        <f>K11</f>
        <v>0</v>
      </c>
      <c r="U11" s="47"/>
    </row>
    <row r="12" spans="1:21" x14ac:dyDescent="0.25">
      <c r="A12" s="35"/>
      <c r="B12" s="62" t="s">
        <v>123</v>
      </c>
      <c r="C12" s="36" t="s">
        <v>25</v>
      </c>
      <c r="D12" s="39">
        <v>10</v>
      </c>
      <c r="E12" s="39">
        <v>8000</v>
      </c>
      <c r="F12" s="39">
        <f t="shared" ref="F12:F21" si="4">D12*E12</f>
        <v>80000</v>
      </c>
      <c r="G12" s="39">
        <f>D12*E12</f>
        <v>80000</v>
      </c>
      <c r="H12" s="39">
        <v>0</v>
      </c>
      <c r="I12" s="39">
        <v>0</v>
      </c>
      <c r="J12" s="39">
        <v>0</v>
      </c>
      <c r="K12" s="39">
        <v>0</v>
      </c>
      <c r="L12" s="39"/>
      <c r="M12" s="39"/>
      <c r="N12" s="39"/>
      <c r="O12" s="39"/>
      <c r="P12" s="39"/>
    </row>
    <row r="13" spans="1:21" x14ac:dyDescent="0.25">
      <c r="A13" s="35"/>
      <c r="B13" s="37" t="s">
        <v>26</v>
      </c>
      <c r="C13" s="36"/>
      <c r="D13" s="39"/>
      <c r="E13" s="39"/>
      <c r="F13" s="38">
        <f t="shared" ref="F13:U13" si="5">SUM(F11:F12)</f>
        <v>280000</v>
      </c>
      <c r="G13" s="38">
        <f t="shared" si="5"/>
        <v>280000</v>
      </c>
      <c r="H13" s="38">
        <f t="shared" si="5"/>
        <v>0</v>
      </c>
      <c r="I13" s="38">
        <f t="shared" si="5"/>
        <v>0</v>
      </c>
      <c r="J13" s="38">
        <f t="shared" si="5"/>
        <v>0</v>
      </c>
      <c r="K13" s="38">
        <f t="shared" si="5"/>
        <v>0</v>
      </c>
      <c r="L13" s="38">
        <f t="shared" si="5"/>
        <v>0</v>
      </c>
      <c r="M13" s="38">
        <f t="shared" si="5"/>
        <v>0</v>
      </c>
      <c r="N13" s="38">
        <f t="shared" si="5"/>
        <v>0</v>
      </c>
      <c r="O13" s="38">
        <f t="shared" si="5"/>
        <v>0</v>
      </c>
      <c r="P13" s="38">
        <f t="shared" si="5"/>
        <v>0</v>
      </c>
      <c r="Q13" s="38">
        <f t="shared" si="5"/>
        <v>0</v>
      </c>
      <c r="R13" s="38">
        <f t="shared" si="5"/>
        <v>0</v>
      </c>
      <c r="S13" s="38">
        <f t="shared" si="5"/>
        <v>0</v>
      </c>
      <c r="T13" s="38">
        <f t="shared" si="5"/>
        <v>0</v>
      </c>
      <c r="U13" s="38">
        <f t="shared" si="5"/>
        <v>0</v>
      </c>
    </row>
    <row r="14" spans="1:21" x14ac:dyDescent="0.25">
      <c r="A14" s="35"/>
      <c r="B14" s="36"/>
      <c r="C14" s="36"/>
      <c r="D14" s="39"/>
      <c r="E14" s="39"/>
      <c r="F14" s="39">
        <f t="shared" si="4"/>
        <v>0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21" x14ac:dyDescent="0.25">
      <c r="A15" s="35"/>
      <c r="B15" s="37" t="s">
        <v>115</v>
      </c>
      <c r="C15" s="36"/>
      <c r="D15" s="39"/>
      <c r="E15" s="39"/>
      <c r="F15" s="39">
        <f t="shared" si="4"/>
        <v>0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21" x14ac:dyDescent="0.25">
      <c r="B16" s="63" t="s">
        <v>212</v>
      </c>
      <c r="C16" s="36" t="s">
        <v>166</v>
      </c>
      <c r="D16" s="39">
        <v>2</v>
      </c>
      <c r="E16" s="39">
        <f>F13*0.1</f>
        <v>28000</v>
      </c>
      <c r="F16" s="39">
        <f>D16*E16</f>
        <v>56000</v>
      </c>
      <c r="G16" s="39">
        <f>F16</f>
        <v>56000</v>
      </c>
      <c r="H16" s="39">
        <f>F16</f>
        <v>56000</v>
      </c>
      <c r="I16" s="39">
        <f t="shared" ref="I16:U21" si="6">H16</f>
        <v>56000</v>
      </c>
      <c r="J16" s="39">
        <f t="shared" si="6"/>
        <v>56000</v>
      </c>
      <c r="K16" s="39">
        <f t="shared" si="6"/>
        <v>56000</v>
      </c>
      <c r="L16" s="39">
        <f t="shared" si="6"/>
        <v>56000</v>
      </c>
      <c r="M16" s="39">
        <f t="shared" si="6"/>
        <v>56000</v>
      </c>
      <c r="N16" s="39">
        <f t="shared" si="6"/>
        <v>56000</v>
      </c>
      <c r="O16" s="39">
        <f t="shared" si="6"/>
        <v>56000</v>
      </c>
      <c r="P16" s="39">
        <f t="shared" si="6"/>
        <v>56000</v>
      </c>
      <c r="Q16" s="39">
        <f t="shared" si="6"/>
        <v>56000</v>
      </c>
      <c r="R16" s="39">
        <f t="shared" si="6"/>
        <v>56000</v>
      </c>
      <c r="S16" s="39">
        <f t="shared" si="6"/>
        <v>56000</v>
      </c>
      <c r="T16" s="39">
        <f t="shared" si="6"/>
        <v>56000</v>
      </c>
      <c r="U16" s="39">
        <f t="shared" si="6"/>
        <v>56000</v>
      </c>
    </row>
    <row r="17" spans="1:22" x14ac:dyDescent="0.25">
      <c r="A17" s="35"/>
      <c r="B17" s="44"/>
      <c r="C17" s="36"/>
      <c r="D17" s="39">
        <v>0</v>
      </c>
      <c r="E17" s="39">
        <v>0</v>
      </c>
      <c r="F17" s="39">
        <f>15*E17</f>
        <v>0</v>
      </c>
      <c r="G17" s="39">
        <f>F17</f>
        <v>0</v>
      </c>
      <c r="H17" s="39">
        <f>F17</f>
        <v>0</v>
      </c>
      <c r="I17" s="39">
        <f>H17</f>
        <v>0</v>
      </c>
      <c r="J17" s="39">
        <f>I17</f>
        <v>0</v>
      </c>
      <c r="K17" s="39">
        <f t="shared" si="6"/>
        <v>0</v>
      </c>
      <c r="L17" s="39">
        <f t="shared" si="6"/>
        <v>0</v>
      </c>
      <c r="M17" s="39">
        <f t="shared" si="6"/>
        <v>0</v>
      </c>
      <c r="N17" s="39">
        <f t="shared" si="6"/>
        <v>0</v>
      </c>
      <c r="O17" s="39">
        <f t="shared" si="6"/>
        <v>0</v>
      </c>
      <c r="P17" s="39">
        <f t="shared" si="6"/>
        <v>0</v>
      </c>
      <c r="Q17" s="39">
        <f t="shared" si="6"/>
        <v>0</v>
      </c>
      <c r="R17" s="39">
        <f t="shared" si="6"/>
        <v>0</v>
      </c>
      <c r="S17" s="39">
        <f t="shared" si="6"/>
        <v>0</v>
      </c>
      <c r="T17" s="39">
        <f t="shared" si="6"/>
        <v>0</v>
      </c>
      <c r="U17" s="39">
        <f t="shared" si="6"/>
        <v>0</v>
      </c>
    </row>
    <row r="18" spans="1:22" x14ac:dyDescent="0.25">
      <c r="A18" s="35"/>
      <c r="B18" s="44"/>
      <c r="C18" s="36"/>
      <c r="D18" s="39"/>
      <c r="E18" s="39">
        <v>0</v>
      </c>
      <c r="F18" s="39">
        <v>3000</v>
      </c>
      <c r="G18" s="39">
        <f>F18</f>
        <v>3000</v>
      </c>
      <c r="H18" s="39">
        <f>D18*E18*1</f>
        <v>0</v>
      </c>
      <c r="I18" s="39">
        <f>D18*E18*1</f>
        <v>0</v>
      </c>
      <c r="J18" s="39">
        <f>D18*E18</f>
        <v>0</v>
      </c>
      <c r="K18" s="39">
        <f t="shared" si="6"/>
        <v>0</v>
      </c>
      <c r="L18" s="39">
        <f t="shared" si="6"/>
        <v>0</v>
      </c>
      <c r="M18" s="39">
        <f t="shared" si="6"/>
        <v>0</v>
      </c>
      <c r="N18" s="39">
        <f t="shared" si="6"/>
        <v>0</v>
      </c>
      <c r="O18" s="39">
        <f t="shared" si="6"/>
        <v>0</v>
      </c>
      <c r="P18" s="39">
        <f t="shared" si="6"/>
        <v>0</v>
      </c>
      <c r="Q18" s="39">
        <f t="shared" si="6"/>
        <v>0</v>
      </c>
      <c r="R18" s="39">
        <f t="shared" si="6"/>
        <v>0</v>
      </c>
      <c r="S18" s="39">
        <f t="shared" si="6"/>
        <v>0</v>
      </c>
      <c r="T18" s="39">
        <f t="shared" si="6"/>
        <v>0</v>
      </c>
      <c r="U18" s="39">
        <f t="shared" si="6"/>
        <v>0</v>
      </c>
      <c r="V18" s="45"/>
    </row>
    <row r="19" spans="1:22" x14ac:dyDescent="0.25">
      <c r="A19" s="35"/>
      <c r="B19" s="44"/>
      <c r="C19" s="36"/>
      <c r="D19" s="39"/>
      <c r="E19" s="39">
        <v>0</v>
      </c>
      <c r="F19" s="39">
        <f t="shared" si="4"/>
        <v>0</v>
      </c>
      <c r="G19" s="39">
        <f>F19</f>
        <v>0</v>
      </c>
      <c r="H19" s="39">
        <f>F19</f>
        <v>0</v>
      </c>
      <c r="I19" s="39">
        <f t="shared" ref="I19:P21" si="7">H19</f>
        <v>0</v>
      </c>
      <c r="J19" s="39">
        <f t="shared" si="7"/>
        <v>0</v>
      </c>
      <c r="K19" s="39">
        <f t="shared" si="7"/>
        <v>0</v>
      </c>
      <c r="L19" s="39">
        <f t="shared" si="7"/>
        <v>0</v>
      </c>
      <c r="M19" s="39">
        <f t="shared" si="7"/>
        <v>0</v>
      </c>
      <c r="N19" s="39">
        <f t="shared" si="7"/>
        <v>0</v>
      </c>
      <c r="O19" s="39">
        <f t="shared" si="7"/>
        <v>0</v>
      </c>
      <c r="P19" s="39">
        <f t="shared" si="7"/>
        <v>0</v>
      </c>
      <c r="Q19" s="39">
        <f t="shared" si="6"/>
        <v>0</v>
      </c>
      <c r="R19" s="39">
        <f t="shared" si="6"/>
        <v>0</v>
      </c>
      <c r="S19" s="39">
        <f t="shared" si="6"/>
        <v>0</v>
      </c>
      <c r="T19" s="39">
        <f t="shared" si="6"/>
        <v>0</v>
      </c>
      <c r="U19" s="39">
        <f t="shared" si="6"/>
        <v>0</v>
      </c>
      <c r="V19" s="45"/>
    </row>
    <row r="20" spans="1:22" x14ac:dyDescent="0.25">
      <c r="A20" s="35"/>
      <c r="B20" s="44"/>
      <c r="C20" s="36"/>
      <c r="D20" s="39"/>
      <c r="E20" s="39">
        <v>0</v>
      </c>
      <c r="F20" s="39">
        <f t="shared" si="4"/>
        <v>0</v>
      </c>
      <c r="G20" s="39">
        <f t="shared" ref="G20:U21" si="8">F20</f>
        <v>0</v>
      </c>
      <c r="H20" s="39">
        <f t="shared" si="8"/>
        <v>0</v>
      </c>
      <c r="I20" s="39">
        <f t="shared" si="8"/>
        <v>0</v>
      </c>
      <c r="J20" s="39">
        <f t="shared" si="8"/>
        <v>0</v>
      </c>
      <c r="K20" s="39">
        <f t="shared" si="8"/>
        <v>0</v>
      </c>
      <c r="L20" s="39">
        <f t="shared" si="8"/>
        <v>0</v>
      </c>
      <c r="M20" s="39">
        <f t="shared" si="8"/>
        <v>0</v>
      </c>
      <c r="N20" s="39">
        <f t="shared" si="8"/>
        <v>0</v>
      </c>
      <c r="O20" s="39">
        <f t="shared" si="8"/>
        <v>0</v>
      </c>
      <c r="P20" s="39">
        <f t="shared" si="8"/>
        <v>0</v>
      </c>
      <c r="Q20" s="39">
        <f t="shared" si="8"/>
        <v>0</v>
      </c>
      <c r="R20" s="39">
        <f t="shared" si="8"/>
        <v>0</v>
      </c>
      <c r="S20" s="39">
        <f t="shared" si="8"/>
        <v>0</v>
      </c>
      <c r="T20" s="39">
        <f t="shared" si="8"/>
        <v>0</v>
      </c>
      <c r="U20" s="39">
        <f t="shared" si="8"/>
        <v>0</v>
      </c>
      <c r="V20" s="45"/>
    </row>
    <row r="21" spans="1:22" x14ac:dyDescent="0.25">
      <c r="A21" s="35"/>
      <c r="B21" s="44"/>
      <c r="C21" s="36"/>
      <c r="D21" s="39"/>
      <c r="E21" s="39">
        <v>0</v>
      </c>
      <c r="F21" s="39">
        <f t="shared" si="4"/>
        <v>0</v>
      </c>
      <c r="G21" s="39">
        <f t="shared" si="8"/>
        <v>0</v>
      </c>
      <c r="H21" s="39">
        <f>F21</f>
        <v>0</v>
      </c>
      <c r="I21" s="39">
        <f>F21</f>
        <v>0</v>
      </c>
      <c r="J21" s="39">
        <f>F21</f>
        <v>0</v>
      </c>
      <c r="K21" s="39">
        <f>J21</f>
        <v>0</v>
      </c>
      <c r="L21" s="39">
        <f t="shared" si="7"/>
        <v>0</v>
      </c>
      <c r="M21" s="39">
        <f t="shared" si="7"/>
        <v>0</v>
      </c>
      <c r="N21" s="39">
        <f t="shared" si="7"/>
        <v>0</v>
      </c>
      <c r="O21" s="39">
        <f t="shared" si="7"/>
        <v>0</v>
      </c>
      <c r="P21" s="39">
        <f t="shared" si="7"/>
        <v>0</v>
      </c>
      <c r="Q21" s="39">
        <f t="shared" si="6"/>
        <v>0</v>
      </c>
      <c r="R21" s="39">
        <f t="shared" si="6"/>
        <v>0</v>
      </c>
      <c r="S21" s="39">
        <f t="shared" si="6"/>
        <v>0</v>
      </c>
      <c r="T21" s="39">
        <f t="shared" si="6"/>
        <v>0</v>
      </c>
      <c r="U21" s="39">
        <f t="shared" si="6"/>
        <v>0</v>
      </c>
    </row>
    <row r="22" spans="1:22" x14ac:dyDescent="0.25">
      <c r="A22" s="35"/>
      <c r="B22" s="37" t="s">
        <v>28</v>
      </c>
      <c r="C22" s="36"/>
      <c r="D22" s="39"/>
      <c r="E22" s="39"/>
      <c r="F22" s="38">
        <f>SUM(F16:F21)</f>
        <v>59000</v>
      </c>
      <c r="G22" s="38">
        <f t="shared" ref="G22:U22" si="9">SUM(G16:G21)</f>
        <v>59000</v>
      </c>
      <c r="H22" s="38">
        <f t="shared" si="9"/>
        <v>56000</v>
      </c>
      <c r="I22" s="38">
        <f t="shared" si="9"/>
        <v>56000</v>
      </c>
      <c r="J22" s="38">
        <f t="shared" si="9"/>
        <v>56000</v>
      </c>
      <c r="K22" s="38">
        <f t="shared" si="9"/>
        <v>56000</v>
      </c>
      <c r="L22" s="38">
        <f t="shared" si="9"/>
        <v>56000</v>
      </c>
      <c r="M22" s="38">
        <f t="shared" si="9"/>
        <v>56000</v>
      </c>
      <c r="N22" s="38">
        <f t="shared" si="9"/>
        <v>56000</v>
      </c>
      <c r="O22" s="38">
        <f t="shared" si="9"/>
        <v>56000</v>
      </c>
      <c r="P22" s="38">
        <f t="shared" si="9"/>
        <v>56000</v>
      </c>
      <c r="Q22" s="38">
        <f t="shared" si="9"/>
        <v>56000</v>
      </c>
      <c r="R22" s="38">
        <f t="shared" si="9"/>
        <v>56000</v>
      </c>
      <c r="S22" s="38">
        <f t="shared" si="9"/>
        <v>56000</v>
      </c>
      <c r="T22" s="38">
        <f t="shared" si="9"/>
        <v>56000</v>
      </c>
      <c r="U22" s="38">
        <f t="shared" si="9"/>
        <v>56000</v>
      </c>
    </row>
    <row r="23" spans="1:22" x14ac:dyDescent="0.25">
      <c r="A23" s="35"/>
      <c r="B23" s="46"/>
      <c r="C23" s="36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22" x14ac:dyDescent="0.25">
      <c r="A24" s="35"/>
      <c r="B24" s="37" t="s">
        <v>29</v>
      </c>
      <c r="C24" s="36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1:22" x14ac:dyDescent="0.25">
      <c r="A25" s="35"/>
      <c r="B25" s="36" t="s">
        <v>30</v>
      </c>
      <c r="C25" s="36" t="s">
        <v>178</v>
      </c>
      <c r="D25" s="39">
        <v>1</v>
      </c>
      <c r="E25" s="39">
        <f>E12/15</f>
        <v>533.33333333333337</v>
      </c>
      <c r="F25" s="39">
        <f>D25*E25</f>
        <v>533.33333333333337</v>
      </c>
      <c r="G25" s="39">
        <f>F25</f>
        <v>533.33333333333337</v>
      </c>
      <c r="H25" s="39">
        <f>D25*E25</f>
        <v>533.33333333333337</v>
      </c>
      <c r="I25" s="39">
        <f t="shared" ref="I25:U25" si="10">H25</f>
        <v>533.33333333333337</v>
      </c>
      <c r="J25" s="39">
        <f t="shared" si="10"/>
        <v>533.33333333333337</v>
      </c>
      <c r="K25" s="39">
        <f t="shared" si="10"/>
        <v>533.33333333333337</v>
      </c>
      <c r="L25" s="39">
        <f t="shared" si="10"/>
        <v>533.33333333333337</v>
      </c>
      <c r="M25" s="39">
        <f t="shared" si="10"/>
        <v>533.33333333333337</v>
      </c>
      <c r="N25" s="39">
        <f t="shared" si="10"/>
        <v>533.33333333333337</v>
      </c>
      <c r="O25" s="39">
        <f t="shared" si="10"/>
        <v>533.33333333333337</v>
      </c>
      <c r="P25" s="39">
        <f t="shared" si="10"/>
        <v>533.33333333333337</v>
      </c>
      <c r="Q25" s="39">
        <f t="shared" si="10"/>
        <v>533.33333333333337</v>
      </c>
      <c r="R25" s="39">
        <f t="shared" si="10"/>
        <v>533.33333333333337</v>
      </c>
      <c r="S25" s="39">
        <f t="shared" si="10"/>
        <v>533.33333333333337</v>
      </c>
      <c r="T25" s="39">
        <f t="shared" si="10"/>
        <v>533.33333333333337</v>
      </c>
      <c r="U25" s="39">
        <f t="shared" si="10"/>
        <v>533.33333333333337</v>
      </c>
      <c r="V25" s="47">
        <f>SUM(H25:U25)</f>
        <v>7466.6666666666652</v>
      </c>
    </row>
    <row r="26" spans="1:22" x14ac:dyDescent="0.25">
      <c r="A26" s="35"/>
      <c r="B26" s="37" t="s">
        <v>31</v>
      </c>
      <c r="C26" s="36"/>
      <c r="D26" s="39"/>
      <c r="E26" s="39"/>
      <c r="F26" s="38">
        <f t="shared" ref="F26:U26" si="11">SUM(F25:F25)</f>
        <v>533.33333333333337</v>
      </c>
      <c r="G26" s="38">
        <f t="shared" si="11"/>
        <v>533.33333333333337</v>
      </c>
      <c r="H26" s="38">
        <f t="shared" si="11"/>
        <v>533.33333333333337</v>
      </c>
      <c r="I26" s="38">
        <f t="shared" si="11"/>
        <v>533.33333333333337</v>
      </c>
      <c r="J26" s="38">
        <f t="shared" si="11"/>
        <v>533.33333333333337</v>
      </c>
      <c r="K26" s="38">
        <f t="shared" si="11"/>
        <v>533.33333333333337</v>
      </c>
      <c r="L26" s="38">
        <f t="shared" si="11"/>
        <v>533.33333333333337</v>
      </c>
      <c r="M26" s="38">
        <f t="shared" si="11"/>
        <v>533.33333333333337</v>
      </c>
      <c r="N26" s="38">
        <f t="shared" si="11"/>
        <v>533.33333333333337</v>
      </c>
      <c r="O26" s="38">
        <f t="shared" si="11"/>
        <v>533.33333333333337</v>
      </c>
      <c r="P26" s="38">
        <f t="shared" si="11"/>
        <v>533.33333333333337</v>
      </c>
      <c r="Q26" s="38">
        <f t="shared" si="11"/>
        <v>533.33333333333337</v>
      </c>
      <c r="R26" s="38">
        <f t="shared" si="11"/>
        <v>533.33333333333337</v>
      </c>
      <c r="S26" s="38">
        <f t="shared" si="11"/>
        <v>533.33333333333337</v>
      </c>
      <c r="T26" s="38">
        <f t="shared" si="11"/>
        <v>533.33333333333337</v>
      </c>
      <c r="U26" s="38">
        <f t="shared" si="11"/>
        <v>533.33333333333337</v>
      </c>
    </row>
    <row r="27" spans="1:22" x14ac:dyDescent="0.25">
      <c r="A27" s="35"/>
      <c r="B27" s="37" t="s">
        <v>32</v>
      </c>
      <c r="C27" s="36"/>
      <c r="D27" s="39"/>
      <c r="E27" s="39"/>
      <c r="F27" s="38">
        <f t="shared" ref="F27:U27" si="12">F13+F22+F26</f>
        <v>339533.33333333331</v>
      </c>
      <c r="G27" s="38">
        <f t="shared" si="12"/>
        <v>339533.33333333331</v>
      </c>
      <c r="H27" s="38">
        <f t="shared" si="12"/>
        <v>56533.333333333336</v>
      </c>
      <c r="I27" s="38">
        <f t="shared" si="12"/>
        <v>56533.333333333336</v>
      </c>
      <c r="J27" s="38">
        <f t="shared" si="12"/>
        <v>56533.333333333336</v>
      </c>
      <c r="K27" s="38">
        <f t="shared" si="12"/>
        <v>56533.333333333336</v>
      </c>
      <c r="L27" s="38">
        <f t="shared" si="12"/>
        <v>56533.333333333336</v>
      </c>
      <c r="M27" s="38">
        <f t="shared" si="12"/>
        <v>56533.333333333336</v>
      </c>
      <c r="N27" s="38">
        <f t="shared" si="12"/>
        <v>56533.333333333336</v>
      </c>
      <c r="O27" s="38">
        <f t="shared" si="12"/>
        <v>56533.333333333336</v>
      </c>
      <c r="P27" s="38">
        <f t="shared" si="12"/>
        <v>56533.333333333336</v>
      </c>
      <c r="Q27" s="38">
        <f t="shared" si="12"/>
        <v>56533.333333333336</v>
      </c>
      <c r="R27" s="38">
        <f t="shared" si="12"/>
        <v>56533.333333333336</v>
      </c>
      <c r="S27" s="38">
        <f t="shared" si="12"/>
        <v>56533.333333333336</v>
      </c>
      <c r="T27" s="38">
        <f t="shared" si="12"/>
        <v>56533.333333333336</v>
      </c>
      <c r="U27" s="38">
        <f t="shared" si="12"/>
        <v>56533.333333333336</v>
      </c>
    </row>
    <row r="28" spans="1:22" x14ac:dyDescent="0.25">
      <c r="A28" s="35"/>
      <c r="B28" s="37"/>
      <c r="C28" s="36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</row>
    <row r="29" spans="1:22" x14ac:dyDescent="0.25">
      <c r="A29" s="35"/>
      <c r="B29" s="37" t="s">
        <v>33</v>
      </c>
      <c r="C29" s="36" t="s">
        <v>178</v>
      </c>
      <c r="D29" s="39"/>
      <c r="E29" s="39"/>
      <c r="F29" s="39"/>
      <c r="G29" s="38">
        <f t="shared" ref="G29:U29" si="13">G7-G13-G22</f>
        <v>-289000</v>
      </c>
      <c r="H29" s="38">
        <f t="shared" si="13"/>
        <v>114000</v>
      </c>
      <c r="I29" s="38">
        <f t="shared" si="13"/>
        <v>114000</v>
      </c>
      <c r="J29" s="38">
        <f t="shared" si="13"/>
        <v>114000</v>
      </c>
      <c r="K29" s="38">
        <f t="shared" si="13"/>
        <v>114000</v>
      </c>
      <c r="L29" s="38">
        <f t="shared" si="13"/>
        <v>114000</v>
      </c>
      <c r="M29" s="38">
        <f t="shared" si="13"/>
        <v>114000</v>
      </c>
      <c r="N29" s="38">
        <f t="shared" si="13"/>
        <v>114000</v>
      </c>
      <c r="O29" s="38">
        <f t="shared" si="13"/>
        <v>114000</v>
      </c>
      <c r="P29" s="38">
        <f t="shared" si="13"/>
        <v>114000</v>
      </c>
      <c r="Q29" s="38">
        <f t="shared" si="13"/>
        <v>114000</v>
      </c>
      <c r="R29" s="38">
        <f t="shared" si="13"/>
        <v>114000</v>
      </c>
      <c r="S29" s="38">
        <f t="shared" si="13"/>
        <v>114000</v>
      </c>
      <c r="T29" s="38">
        <f t="shared" si="13"/>
        <v>114000</v>
      </c>
      <c r="U29" s="38">
        <f t="shared" si="13"/>
        <v>114000</v>
      </c>
    </row>
    <row r="30" spans="1:22" x14ac:dyDescent="0.25">
      <c r="A30" s="35"/>
      <c r="B30" s="37" t="s">
        <v>41</v>
      </c>
      <c r="C30" s="36" t="s">
        <v>178</v>
      </c>
      <c r="D30" s="39"/>
      <c r="E30" s="39"/>
      <c r="F30" s="39"/>
      <c r="G30" s="38">
        <f>G29-G26</f>
        <v>-289533.33333333331</v>
      </c>
      <c r="H30" s="38">
        <f>H29-H26</f>
        <v>113466.66666666667</v>
      </c>
      <c r="I30" s="38">
        <f>I29-I26</f>
        <v>113466.66666666667</v>
      </c>
      <c r="J30" s="38">
        <f>J29-J26</f>
        <v>113466.66666666667</v>
      </c>
      <c r="K30" s="38">
        <f>K29-K26</f>
        <v>113466.66666666667</v>
      </c>
      <c r="L30" s="38">
        <f t="shared" ref="L30:U30" si="14">L29-L26</f>
        <v>113466.66666666667</v>
      </c>
      <c r="M30" s="38">
        <f t="shared" si="14"/>
        <v>113466.66666666667</v>
      </c>
      <c r="N30" s="38">
        <f t="shared" si="14"/>
        <v>113466.66666666667</v>
      </c>
      <c r="O30" s="38">
        <f t="shared" si="14"/>
        <v>113466.66666666667</v>
      </c>
      <c r="P30" s="38">
        <f t="shared" si="14"/>
        <v>113466.66666666667</v>
      </c>
      <c r="Q30" s="38">
        <f t="shared" si="14"/>
        <v>113466.66666666667</v>
      </c>
      <c r="R30" s="38">
        <f t="shared" si="14"/>
        <v>113466.66666666667</v>
      </c>
      <c r="S30" s="38">
        <f t="shared" si="14"/>
        <v>113466.66666666667</v>
      </c>
      <c r="T30" s="38">
        <f t="shared" si="14"/>
        <v>113466.66666666667</v>
      </c>
      <c r="U30" s="38">
        <f t="shared" si="14"/>
        <v>113466.66666666667</v>
      </c>
    </row>
    <row r="31" spans="1:22" x14ac:dyDescent="0.25">
      <c r="A31" s="1"/>
      <c r="B31" s="116" t="s">
        <v>35</v>
      </c>
      <c r="C31" s="117"/>
      <c r="D31" s="117"/>
      <c r="E31" s="117"/>
      <c r="F31" s="118"/>
      <c r="G31" s="52">
        <f>IRR(G30:U30)</f>
        <v>0.38791303168507651</v>
      </c>
      <c r="H31" s="53"/>
      <c r="I31" s="53"/>
      <c r="J31" s="53"/>
      <c r="K31" s="53"/>
      <c r="L31" s="53"/>
      <c r="M31" s="53"/>
      <c r="N31" s="53"/>
      <c r="O31" s="53"/>
      <c r="P31" s="53"/>
    </row>
    <row r="32" spans="1:22" ht="27.75" customHeight="1" x14ac:dyDescent="0.25">
      <c r="A32" s="1"/>
      <c r="B32" s="116" t="s">
        <v>36</v>
      </c>
      <c r="C32" s="117"/>
      <c r="D32" s="117"/>
      <c r="E32" s="117"/>
      <c r="F32" s="118"/>
      <c r="G32" s="54">
        <f>NPV(0.1,G30:U30)</f>
        <v>496672.85161881882</v>
      </c>
      <c r="H32" s="53"/>
      <c r="I32" s="53"/>
      <c r="J32" s="53"/>
      <c r="K32" s="53"/>
      <c r="L32" s="53"/>
      <c r="M32" s="53"/>
      <c r="N32" s="53"/>
      <c r="O32" s="53"/>
      <c r="P32" s="53"/>
    </row>
    <row r="33" spans="1:21" x14ac:dyDescent="0.25">
      <c r="A33" s="35"/>
      <c r="B33" s="35"/>
      <c r="C33" s="3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</row>
    <row r="34" spans="1:21" x14ac:dyDescent="0.25">
      <c r="A34" s="35"/>
      <c r="B34" s="113" t="s">
        <v>37</v>
      </c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</row>
    <row r="35" spans="1:21" x14ac:dyDescent="0.25">
      <c r="A35" s="35"/>
      <c r="B35" s="36"/>
      <c r="C35" s="37" t="s">
        <v>14</v>
      </c>
      <c r="D35" s="38" t="s">
        <v>15</v>
      </c>
      <c r="E35" s="38" t="s">
        <v>16</v>
      </c>
      <c r="F35" s="38" t="s">
        <v>17</v>
      </c>
      <c r="G35" s="114" t="s">
        <v>18</v>
      </c>
      <c r="H35" s="115"/>
      <c r="I35" s="115"/>
      <c r="J35" s="115"/>
      <c r="K35" s="115"/>
      <c r="L35" s="115"/>
      <c r="M35" s="115"/>
      <c r="N35" s="115"/>
      <c r="O35" s="115"/>
      <c r="P35" s="115"/>
    </row>
    <row r="36" spans="1:21" x14ac:dyDescent="0.25">
      <c r="A36" s="35"/>
      <c r="B36" s="37" t="s">
        <v>19</v>
      </c>
      <c r="C36" s="36"/>
      <c r="D36" s="39"/>
      <c r="E36" s="39"/>
      <c r="F36" s="39"/>
      <c r="G36" s="39">
        <v>1</v>
      </c>
      <c r="H36" s="39">
        <f t="shared" ref="H36:P36" si="15">G36+1</f>
        <v>2</v>
      </c>
      <c r="I36" s="39">
        <f t="shared" si="15"/>
        <v>3</v>
      </c>
      <c r="J36" s="39">
        <f t="shared" si="15"/>
        <v>4</v>
      </c>
      <c r="K36" s="39">
        <f t="shared" si="15"/>
        <v>5</v>
      </c>
      <c r="L36" s="39">
        <f t="shared" si="15"/>
        <v>6</v>
      </c>
      <c r="M36" s="39">
        <f t="shared" si="15"/>
        <v>7</v>
      </c>
      <c r="N36" s="39">
        <f t="shared" si="15"/>
        <v>8</v>
      </c>
      <c r="O36" s="39">
        <f t="shared" si="15"/>
        <v>9</v>
      </c>
      <c r="P36" s="39">
        <f t="shared" si="15"/>
        <v>10</v>
      </c>
      <c r="Q36">
        <v>11</v>
      </c>
      <c r="R36">
        <v>12</v>
      </c>
      <c r="S36">
        <v>13</v>
      </c>
      <c r="T36">
        <v>14</v>
      </c>
      <c r="U36">
        <v>15</v>
      </c>
    </row>
    <row r="37" spans="1:21" ht="35.25" customHeight="1" x14ac:dyDescent="0.25">
      <c r="A37" s="35"/>
      <c r="B37" s="60" t="s">
        <v>124</v>
      </c>
      <c r="C37" s="36" t="s">
        <v>116</v>
      </c>
      <c r="D37" s="39">
        <f>D4*0.9</f>
        <v>36000</v>
      </c>
      <c r="E37" s="39">
        <f>E4*0.9</f>
        <v>2.7</v>
      </c>
      <c r="F37" s="39">
        <f>D37*E37</f>
        <v>97200</v>
      </c>
      <c r="G37" s="39"/>
      <c r="H37" s="39">
        <f>F37</f>
        <v>97200</v>
      </c>
      <c r="I37" s="39">
        <f>F37</f>
        <v>97200</v>
      </c>
      <c r="J37" s="39">
        <f>F37</f>
        <v>97200</v>
      </c>
      <c r="K37" s="39">
        <f t="shared" ref="K37:U39" si="16">J37</f>
        <v>97200</v>
      </c>
      <c r="L37" s="39">
        <f t="shared" si="16"/>
        <v>97200</v>
      </c>
      <c r="M37" s="39">
        <f t="shared" si="16"/>
        <v>97200</v>
      </c>
      <c r="N37" s="39">
        <f t="shared" si="16"/>
        <v>97200</v>
      </c>
      <c r="O37" s="39">
        <f t="shared" si="16"/>
        <v>97200</v>
      </c>
      <c r="P37" s="39">
        <f t="shared" si="16"/>
        <v>97200</v>
      </c>
      <c r="Q37" s="39">
        <f t="shared" si="16"/>
        <v>97200</v>
      </c>
      <c r="R37" s="39">
        <f t="shared" si="16"/>
        <v>97200</v>
      </c>
      <c r="S37" s="39">
        <f t="shared" si="16"/>
        <v>97200</v>
      </c>
      <c r="T37" s="39">
        <f t="shared" si="16"/>
        <v>97200</v>
      </c>
      <c r="U37" s="39">
        <f t="shared" si="16"/>
        <v>97200</v>
      </c>
    </row>
    <row r="38" spans="1:21" x14ac:dyDescent="0.25">
      <c r="A38" s="35"/>
      <c r="B38" s="61" t="s">
        <v>125</v>
      </c>
      <c r="C38" s="36" t="s">
        <v>118</v>
      </c>
      <c r="D38" s="39">
        <f>D5</f>
        <v>5000</v>
      </c>
      <c r="E38" s="39">
        <f>E5</f>
        <v>10</v>
      </c>
      <c r="F38" s="39">
        <f>D38*E38</f>
        <v>50000</v>
      </c>
      <c r="G38" s="39">
        <f>F38</f>
        <v>50000</v>
      </c>
      <c r="H38" s="39">
        <f>D38*E38</f>
        <v>50000</v>
      </c>
      <c r="I38" s="39">
        <f>D38*E38</f>
        <v>50000</v>
      </c>
      <c r="J38" s="39">
        <f>D38*E38</f>
        <v>50000</v>
      </c>
      <c r="K38" s="39">
        <f t="shared" si="16"/>
        <v>50000</v>
      </c>
      <c r="L38" s="39">
        <f t="shared" si="16"/>
        <v>50000</v>
      </c>
      <c r="M38" s="39">
        <f t="shared" si="16"/>
        <v>50000</v>
      </c>
      <c r="N38" s="39">
        <f t="shared" si="16"/>
        <v>50000</v>
      </c>
      <c r="O38" s="39">
        <f t="shared" si="16"/>
        <v>50000</v>
      </c>
      <c r="P38" s="39">
        <f t="shared" si="16"/>
        <v>50000</v>
      </c>
      <c r="Q38" s="39">
        <f t="shared" si="16"/>
        <v>50000</v>
      </c>
      <c r="R38" s="39">
        <f t="shared" si="16"/>
        <v>50000</v>
      </c>
      <c r="S38" s="39">
        <f t="shared" si="16"/>
        <v>50000</v>
      </c>
      <c r="T38" s="39">
        <f t="shared" si="16"/>
        <v>50000</v>
      </c>
      <c r="U38" s="39">
        <f t="shared" si="16"/>
        <v>50000</v>
      </c>
    </row>
    <row r="39" spans="1:21" x14ac:dyDescent="0.25">
      <c r="A39" s="35"/>
      <c r="B39" s="61" t="s">
        <v>126</v>
      </c>
      <c r="C39" s="36" t="s">
        <v>24</v>
      </c>
      <c r="D39" s="39">
        <f>D6</f>
        <v>0</v>
      </c>
      <c r="E39" s="39">
        <f>E6</f>
        <v>0</v>
      </c>
      <c r="F39" s="39">
        <f>D39*E39</f>
        <v>0</v>
      </c>
      <c r="G39" s="39">
        <f>F39</f>
        <v>0</v>
      </c>
      <c r="H39" s="39">
        <f>G39</f>
        <v>0</v>
      </c>
      <c r="I39" s="39">
        <f>H39</f>
        <v>0</v>
      </c>
      <c r="J39" s="39">
        <f>I39</f>
        <v>0</v>
      </c>
      <c r="K39" s="39">
        <f>J39</f>
        <v>0</v>
      </c>
      <c r="L39" s="39">
        <f t="shared" si="16"/>
        <v>0</v>
      </c>
      <c r="M39" s="39">
        <f t="shared" si="16"/>
        <v>0</v>
      </c>
      <c r="N39" s="39">
        <f t="shared" si="16"/>
        <v>0</v>
      </c>
      <c r="O39" s="39">
        <f t="shared" si="16"/>
        <v>0</v>
      </c>
      <c r="P39" s="39">
        <f t="shared" si="16"/>
        <v>0</v>
      </c>
      <c r="Q39" s="39"/>
      <c r="R39" s="39"/>
      <c r="S39" s="39"/>
      <c r="T39" s="39"/>
      <c r="U39" s="39">
        <f>P39</f>
        <v>0</v>
      </c>
    </row>
    <row r="40" spans="1:21" x14ac:dyDescent="0.25">
      <c r="A40" s="35"/>
      <c r="B40" s="37" t="s">
        <v>21</v>
      </c>
      <c r="C40" s="36"/>
      <c r="D40" s="39">
        <f t="shared" ref="D40:D48" si="17">D7</f>
        <v>0</v>
      </c>
      <c r="E40" s="39">
        <f t="shared" ref="E40:E49" si="18">E7*0.9</f>
        <v>0</v>
      </c>
      <c r="F40" s="38">
        <f>SUM(F37:F39)</f>
        <v>147200</v>
      </c>
      <c r="G40" s="38">
        <f t="shared" ref="G40:U40" si="19">SUM(G37:G39)</f>
        <v>50000</v>
      </c>
      <c r="H40" s="38">
        <f>SUM(H37:H39)</f>
        <v>147200</v>
      </c>
      <c r="I40" s="38">
        <f t="shared" si="19"/>
        <v>147200</v>
      </c>
      <c r="J40" s="38">
        <f t="shared" si="19"/>
        <v>147200</v>
      </c>
      <c r="K40" s="38">
        <f t="shared" si="19"/>
        <v>147200</v>
      </c>
      <c r="L40" s="38">
        <f t="shared" si="19"/>
        <v>147200</v>
      </c>
      <c r="M40" s="38">
        <f t="shared" si="19"/>
        <v>147200</v>
      </c>
      <c r="N40" s="38">
        <f t="shared" si="19"/>
        <v>147200</v>
      </c>
      <c r="O40" s="38">
        <f t="shared" si="19"/>
        <v>147200</v>
      </c>
      <c r="P40" s="38">
        <f t="shared" si="19"/>
        <v>147200</v>
      </c>
      <c r="Q40" s="38">
        <f t="shared" si="19"/>
        <v>147200</v>
      </c>
      <c r="R40" s="38">
        <f t="shared" si="19"/>
        <v>147200</v>
      </c>
      <c r="S40" s="38">
        <f t="shared" si="19"/>
        <v>147200</v>
      </c>
      <c r="T40" s="38">
        <f t="shared" si="19"/>
        <v>147200</v>
      </c>
      <c r="U40" s="38">
        <f t="shared" si="19"/>
        <v>147200</v>
      </c>
    </row>
    <row r="41" spans="1:21" x14ac:dyDescent="0.25">
      <c r="A41" s="35"/>
      <c r="B41" s="36"/>
      <c r="C41" s="36"/>
      <c r="D41" s="39">
        <f t="shared" si="17"/>
        <v>0</v>
      </c>
      <c r="E41" s="39">
        <f t="shared" si="18"/>
        <v>0</v>
      </c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21" x14ac:dyDescent="0.25">
      <c r="A42" s="35"/>
      <c r="B42" s="42" t="s">
        <v>110</v>
      </c>
      <c r="C42" s="36"/>
      <c r="D42" s="39">
        <f t="shared" si="17"/>
        <v>0</v>
      </c>
      <c r="E42" s="39">
        <f t="shared" si="18"/>
        <v>0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21" x14ac:dyDescent="0.25">
      <c r="A43" s="35"/>
      <c r="B43" s="37" t="s">
        <v>23</v>
      </c>
      <c r="C43" s="36"/>
      <c r="D43" s="39">
        <f t="shared" si="17"/>
        <v>0</v>
      </c>
      <c r="E43" s="39">
        <f t="shared" si="18"/>
        <v>0</v>
      </c>
      <c r="F43" s="43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21" x14ac:dyDescent="0.25">
      <c r="A44" s="35"/>
      <c r="B44" s="62" t="s">
        <v>122</v>
      </c>
      <c r="C44" s="36" t="s">
        <v>24</v>
      </c>
      <c r="D44" s="39">
        <f t="shared" si="17"/>
        <v>1</v>
      </c>
      <c r="E44" s="39">
        <f>E11*0.9</f>
        <v>180000</v>
      </c>
      <c r="F44" s="39">
        <f>D44*E44</f>
        <v>180000</v>
      </c>
      <c r="G44" s="39">
        <f>D44*E44</f>
        <v>180000</v>
      </c>
      <c r="H44" s="39">
        <v>0</v>
      </c>
      <c r="I44" s="39">
        <v>0</v>
      </c>
      <c r="J44" s="39">
        <v>0</v>
      </c>
      <c r="K44" s="39"/>
      <c r="L44" s="39"/>
      <c r="M44" s="39"/>
      <c r="N44" s="39"/>
      <c r="O44" s="39"/>
      <c r="P44" s="39">
        <f>K44</f>
        <v>0</v>
      </c>
    </row>
    <row r="45" spans="1:21" x14ac:dyDescent="0.25">
      <c r="A45" s="35"/>
      <c r="B45" s="62" t="s">
        <v>123</v>
      </c>
      <c r="C45" s="36" t="s">
        <v>25</v>
      </c>
      <c r="D45" s="39">
        <f t="shared" si="17"/>
        <v>10</v>
      </c>
      <c r="E45" s="39">
        <f t="shared" si="18"/>
        <v>7200</v>
      </c>
      <c r="F45" s="39">
        <f t="shared" ref="F45" si="20">D45*E45</f>
        <v>72000</v>
      </c>
      <c r="G45" s="39">
        <f>D45*E45</f>
        <v>72000</v>
      </c>
      <c r="H45" s="39">
        <v>0</v>
      </c>
      <c r="I45" s="39">
        <v>0</v>
      </c>
      <c r="J45" s="39">
        <v>0</v>
      </c>
      <c r="K45" s="39">
        <v>0</v>
      </c>
      <c r="L45" s="39"/>
      <c r="M45" s="39"/>
      <c r="N45" s="39"/>
      <c r="O45" s="39"/>
      <c r="P45" s="39"/>
    </row>
    <row r="46" spans="1:21" x14ac:dyDescent="0.25">
      <c r="A46" s="35"/>
      <c r="B46" s="37" t="s">
        <v>26</v>
      </c>
      <c r="C46" s="36"/>
      <c r="D46" s="39">
        <f t="shared" si="17"/>
        <v>0</v>
      </c>
      <c r="E46" s="39">
        <f t="shared" si="18"/>
        <v>0</v>
      </c>
      <c r="F46" s="38">
        <f t="shared" ref="F46:K46" si="21">SUM(F44:F45)</f>
        <v>252000</v>
      </c>
      <c r="G46" s="38">
        <f t="shared" si="21"/>
        <v>252000</v>
      </c>
      <c r="H46" s="38">
        <f t="shared" si="21"/>
        <v>0</v>
      </c>
      <c r="I46" s="38">
        <f t="shared" si="21"/>
        <v>0</v>
      </c>
      <c r="J46" s="38">
        <f t="shared" si="21"/>
        <v>0</v>
      </c>
      <c r="K46" s="38">
        <f t="shared" si="21"/>
        <v>0</v>
      </c>
      <c r="L46" s="38">
        <f t="shared" ref="L46:U46" si="22">SUM(L44:L45)</f>
        <v>0</v>
      </c>
      <c r="M46" s="38">
        <f t="shared" si="22"/>
        <v>0</v>
      </c>
      <c r="N46" s="38">
        <f t="shared" si="22"/>
        <v>0</v>
      </c>
      <c r="O46" s="38">
        <f t="shared" si="22"/>
        <v>0</v>
      </c>
      <c r="P46" s="38">
        <f t="shared" si="22"/>
        <v>0</v>
      </c>
      <c r="Q46" s="38">
        <f t="shared" si="22"/>
        <v>0</v>
      </c>
      <c r="R46" s="38">
        <f t="shared" si="22"/>
        <v>0</v>
      </c>
      <c r="S46" s="38">
        <f t="shared" si="22"/>
        <v>0</v>
      </c>
      <c r="T46" s="38">
        <f t="shared" si="22"/>
        <v>0</v>
      </c>
      <c r="U46" s="38">
        <f t="shared" si="22"/>
        <v>0</v>
      </c>
    </row>
    <row r="47" spans="1:21" x14ac:dyDescent="0.25">
      <c r="A47" s="35"/>
      <c r="B47" s="36"/>
      <c r="C47" s="36"/>
      <c r="D47" s="39">
        <f t="shared" si="17"/>
        <v>0</v>
      </c>
      <c r="E47" s="39">
        <f t="shared" si="18"/>
        <v>0</v>
      </c>
      <c r="F47" s="39">
        <f t="shared" ref="F47:F48" si="23">D47*E47</f>
        <v>0</v>
      </c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21" x14ac:dyDescent="0.25">
      <c r="A48" s="35"/>
      <c r="B48" s="37" t="s">
        <v>115</v>
      </c>
      <c r="C48" s="36"/>
      <c r="D48" s="39">
        <f t="shared" si="17"/>
        <v>0</v>
      </c>
      <c r="E48" s="39">
        <f t="shared" si="18"/>
        <v>0</v>
      </c>
      <c r="F48" s="39">
        <f t="shared" si="23"/>
        <v>0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22" ht="43.5" x14ac:dyDescent="0.25">
      <c r="A49" s="35"/>
      <c r="B49" s="123" t="s">
        <v>212</v>
      </c>
      <c r="C49" s="36" t="s">
        <v>215</v>
      </c>
      <c r="D49" s="39">
        <v>1</v>
      </c>
      <c r="E49" s="39">
        <f t="shared" si="18"/>
        <v>25200</v>
      </c>
      <c r="F49" s="39">
        <f>D49*E49</f>
        <v>25200</v>
      </c>
      <c r="G49" s="39">
        <f>F49</f>
        <v>25200</v>
      </c>
      <c r="H49" s="39">
        <f>G49</f>
        <v>25200</v>
      </c>
      <c r="I49" s="39">
        <f>H49</f>
        <v>25200</v>
      </c>
      <c r="J49" s="39">
        <f>I49</f>
        <v>25200</v>
      </c>
      <c r="K49" s="39">
        <f t="shared" ref="K49:U54" si="24">J49</f>
        <v>25200</v>
      </c>
      <c r="L49" s="39">
        <f t="shared" si="24"/>
        <v>25200</v>
      </c>
      <c r="M49" s="39">
        <f t="shared" si="24"/>
        <v>25200</v>
      </c>
      <c r="N49" s="39">
        <f t="shared" si="24"/>
        <v>25200</v>
      </c>
      <c r="O49" s="39">
        <f t="shared" si="24"/>
        <v>25200</v>
      </c>
      <c r="P49" s="39">
        <f t="shared" si="24"/>
        <v>25200</v>
      </c>
      <c r="Q49" s="39">
        <f t="shared" si="24"/>
        <v>25200</v>
      </c>
      <c r="R49" s="39">
        <f t="shared" si="24"/>
        <v>25200</v>
      </c>
      <c r="S49" s="39">
        <f t="shared" si="24"/>
        <v>25200</v>
      </c>
      <c r="T49" s="39">
        <f t="shared" si="24"/>
        <v>25200</v>
      </c>
      <c r="U49" s="39">
        <f t="shared" si="24"/>
        <v>25200</v>
      </c>
    </row>
    <row r="50" spans="1:22" x14ac:dyDescent="0.25">
      <c r="A50" s="35"/>
      <c r="B50" s="44"/>
      <c r="C50" s="36"/>
      <c r="D50" s="39"/>
      <c r="E50" s="39">
        <f>E17</f>
        <v>0</v>
      </c>
      <c r="F50" s="39">
        <f t="shared" ref="F50:F54" si="25">D50*E50</f>
        <v>0</v>
      </c>
      <c r="G50" s="39">
        <f>F50</f>
        <v>0</v>
      </c>
      <c r="H50" s="39">
        <f>D50*E50*1</f>
        <v>0</v>
      </c>
      <c r="I50" s="39">
        <f>D50*E50*1</f>
        <v>0</v>
      </c>
      <c r="J50" s="39">
        <f>D50*E50</f>
        <v>0</v>
      </c>
      <c r="K50" s="39">
        <f t="shared" si="24"/>
        <v>0</v>
      </c>
      <c r="L50" s="39">
        <f t="shared" si="24"/>
        <v>0</v>
      </c>
      <c r="M50" s="39">
        <f t="shared" si="24"/>
        <v>0</v>
      </c>
      <c r="N50" s="39">
        <f t="shared" si="24"/>
        <v>0</v>
      </c>
      <c r="O50" s="39">
        <f t="shared" si="24"/>
        <v>0</v>
      </c>
      <c r="P50" s="39">
        <f t="shared" si="24"/>
        <v>0</v>
      </c>
      <c r="Q50" s="39">
        <f t="shared" si="24"/>
        <v>0</v>
      </c>
      <c r="R50" s="39">
        <f t="shared" si="24"/>
        <v>0</v>
      </c>
      <c r="S50" s="39">
        <f t="shared" si="24"/>
        <v>0</v>
      </c>
      <c r="T50" s="39">
        <f t="shared" si="24"/>
        <v>0</v>
      </c>
      <c r="U50" s="39">
        <f t="shared" si="24"/>
        <v>0</v>
      </c>
      <c r="V50" s="45"/>
    </row>
    <row r="51" spans="1:22" x14ac:dyDescent="0.25">
      <c r="A51" s="35"/>
      <c r="B51" s="44"/>
      <c r="C51" s="36"/>
      <c r="D51" s="39"/>
      <c r="E51" s="39">
        <f>E18*0.9</f>
        <v>0</v>
      </c>
      <c r="F51" s="39">
        <f t="shared" si="25"/>
        <v>0</v>
      </c>
      <c r="G51" s="39">
        <f>F51*0.5</f>
        <v>0</v>
      </c>
      <c r="H51" s="39">
        <f>F51</f>
        <v>0</v>
      </c>
      <c r="I51" s="39">
        <f t="shared" ref="I51:J51" si="26">H51</f>
        <v>0</v>
      </c>
      <c r="J51" s="39">
        <f t="shared" si="26"/>
        <v>0</v>
      </c>
      <c r="K51" s="39">
        <f t="shared" si="24"/>
        <v>0</v>
      </c>
      <c r="L51" s="39">
        <f t="shared" si="24"/>
        <v>0</v>
      </c>
      <c r="M51" s="39">
        <f t="shared" si="24"/>
        <v>0</v>
      </c>
      <c r="N51" s="39">
        <f t="shared" si="24"/>
        <v>0</v>
      </c>
      <c r="O51" s="39">
        <f t="shared" si="24"/>
        <v>0</v>
      </c>
      <c r="P51" s="39">
        <f t="shared" si="24"/>
        <v>0</v>
      </c>
      <c r="Q51" s="39">
        <f t="shared" si="24"/>
        <v>0</v>
      </c>
      <c r="R51" s="39">
        <f t="shared" si="24"/>
        <v>0</v>
      </c>
      <c r="S51" s="39">
        <f t="shared" si="24"/>
        <v>0</v>
      </c>
      <c r="T51" s="39">
        <f t="shared" si="24"/>
        <v>0</v>
      </c>
      <c r="U51" s="39">
        <f t="shared" si="24"/>
        <v>0</v>
      </c>
      <c r="V51" s="45"/>
    </row>
    <row r="52" spans="1:22" x14ac:dyDescent="0.25">
      <c r="A52" s="35"/>
      <c r="B52" s="44"/>
      <c r="C52" s="36"/>
      <c r="D52" s="39"/>
      <c r="E52" s="39">
        <f>E19*0.9</f>
        <v>0</v>
      </c>
      <c r="F52" s="39">
        <f t="shared" si="25"/>
        <v>0</v>
      </c>
      <c r="G52" s="39">
        <f>F52</f>
        <v>0</v>
      </c>
      <c r="H52" s="39">
        <f>F52</f>
        <v>0</v>
      </c>
      <c r="I52" s="39">
        <f>F52</f>
        <v>0</v>
      </c>
      <c r="J52" s="39">
        <f>F52</f>
        <v>0</v>
      </c>
      <c r="K52" s="39">
        <f>J52</f>
        <v>0</v>
      </c>
      <c r="L52" s="39">
        <f t="shared" si="24"/>
        <v>0</v>
      </c>
      <c r="M52" s="39">
        <f t="shared" si="24"/>
        <v>0</v>
      </c>
      <c r="N52" s="39">
        <f t="shared" si="24"/>
        <v>0</v>
      </c>
      <c r="O52" s="39">
        <f t="shared" si="24"/>
        <v>0</v>
      </c>
      <c r="P52" s="39">
        <f t="shared" si="24"/>
        <v>0</v>
      </c>
      <c r="Q52" s="39">
        <f t="shared" si="24"/>
        <v>0</v>
      </c>
      <c r="R52" s="39">
        <f t="shared" si="24"/>
        <v>0</v>
      </c>
      <c r="S52" s="39">
        <f t="shared" si="24"/>
        <v>0</v>
      </c>
      <c r="T52" s="39">
        <f t="shared" si="24"/>
        <v>0</v>
      </c>
      <c r="U52" s="39">
        <f t="shared" si="24"/>
        <v>0</v>
      </c>
    </row>
    <row r="53" spans="1:22" x14ac:dyDescent="0.25">
      <c r="A53" s="35"/>
      <c r="B53" s="44"/>
      <c r="C53" s="36"/>
      <c r="D53" s="39"/>
      <c r="E53" s="39">
        <f>E20*0.9</f>
        <v>0</v>
      </c>
      <c r="F53" s="39">
        <f t="shared" si="25"/>
        <v>0</v>
      </c>
      <c r="G53" s="39">
        <f>F53</f>
        <v>0</v>
      </c>
      <c r="H53" s="39">
        <f>D53*E53*1</f>
        <v>0</v>
      </c>
      <c r="I53" s="39">
        <f>D53*E53*1</f>
        <v>0</v>
      </c>
      <c r="J53" s="39">
        <f>D53*E53</f>
        <v>0</v>
      </c>
      <c r="K53" s="39">
        <f>J53</f>
        <v>0</v>
      </c>
      <c r="L53" s="39">
        <f t="shared" si="24"/>
        <v>0</v>
      </c>
      <c r="M53" s="39">
        <f t="shared" si="24"/>
        <v>0</v>
      </c>
      <c r="N53" s="39">
        <f t="shared" si="24"/>
        <v>0</v>
      </c>
      <c r="O53" s="39">
        <f t="shared" si="24"/>
        <v>0</v>
      </c>
      <c r="P53" s="39">
        <f t="shared" si="24"/>
        <v>0</v>
      </c>
      <c r="Q53" s="39">
        <f t="shared" si="24"/>
        <v>0</v>
      </c>
      <c r="R53" s="39">
        <f t="shared" si="24"/>
        <v>0</v>
      </c>
      <c r="S53" s="39">
        <f t="shared" si="24"/>
        <v>0</v>
      </c>
      <c r="T53" s="39">
        <f t="shared" si="24"/>
        <v>0</v>
      </c>
      <c r="U53" s="39">
        <f t="shared" si="24"/>
        <v>0</v>
      </c>
    </row>
    <row r="54" spans="1:22" x14ac:dyDescent="0.25">
      <c r="A54" s="35"/>
      <c r="B54" s="44"/>
      <c r="C54" s="36"/>
      <c r="D54" s="39"/>
      <c r="E54" s="39">
        <f>E21*0.9</f>
        <v>0</v>
      </c>
      <c r="F54" s="39">
        <f t="shared" si="25"/>
        <v>0</v>
      </c>
      <c r="G54" s="39">
        <f>F54</f>
        <v>0</v>
      </c>
      <c r="H54" s="39">
        <f>D54*E54*1</f>
        <v>0</v>
      </c>
      <c r="I54" s="39">
        <f>D54*E54*1</f>
        <v>0</v>
      </c>
      <c r="J54" s="39">
        <f>D54*E54</f>
        <v>0</v>
      </c>
      <c r="K54" s="39">
        <f>J54</f>
        <v>0</v>
      </c>
      <c r="L54" s="39">
        <f t="shared" si="24"/>
        <v>0</v>
      </c>
      <c r="M54" s="39">
        <f t="shared" si="24"/>
        <v>0</v>
      </c>
      <c r="N54" s="39">
        <f t="shared" si="24"/>
        <v>0</v>
      </c>
      <c r="O54" s="39">
        <f t="shared" si="24"/>
        <v>0</v>
      </c>
      <c r="P54" s="39">
        <f t="shared" si="24"/>
        <v>0</v>
      </c>
      <c r="Q54" s="39">
        <f t="shared" si="24"/>
        <v>0</v>
      </c>
      <c r="R54" s="39">
        <f t="shared" si="24"/>
        <v>0</v>
      </c>
      <c r="S54" s="39">
        <f t="shared" si="24"/>
        <v>0</v>
      </c>
      <c r="T54" s="39">
        <f t="shared" si="24"/>
        <v>0</v>
      </c>
      <c r="U54" s="39">
        <f t="shared" si="24"/>
        <v>0</v>
      </c>
    </row>
    <row r="55" spans="1:22" x14ac:dyDescent="0.25">
      <c r="A55" s="35"/>
      <c r="B55" s="37" t="s">
        <v>28</v>
      </c>
      <c r="C55" s="36"/>
      <c r="D55" s="39">
        <f>D22</f>
        <v>0</v>
      </c>
      <c r="E55" s="39"/>
      <c r="F55" s="38">
        <f>SUM(F49:F54)</f>
        <v>25200</v>
      </c>
      <c r="G55" s="38">
        <f t="shared" ref="G55:U55" si="27">SUM(G49:G54)</f>
        <v>25200</v>
      </c>
      <c r="H55" s="38">
        <f t="shared" si="27"/>
        <v>25200</v>
      </c>
      <c r="I55" s="38">
        <f t="shared" si="27"/>
        <v>25200</v>
      </c>
      <c r="J55" s="38">
        <f t="shared" si="27"/>
        <v>25200</v>
      </c>
      <c r="K55" s="38">
        <f t="shared" si="27"/>
        <v>25200</v>
      </c>
      <c r="L55" s="38">
        <f t="shared" si="27"/>
        <v>25200</v>
      </c>
      <c r="M55" s="38">
        <f t="shared" si="27"/>
        <v>25200</v>
      </c>
      <c r="N55" s="38">
        <f t="shared" si="27"/>
        <v>25200</v>
      </c>
      <c r="O55" s="38">
        <f t="shared" si="27"/>
        <v>25200</v>
      </c>
      <c r="P55" s="38">
        <f t="shared" si="27"/>
        <v>25200</v>
      </c>
      <c r="Q55" s="38">
        <f t="shared" si="27"/>
        <v>25200</v>
      </c>
      <c r="R55" s="38">
        <f t="shared" si="27"/>
        <v>25200</v>
      </c>
      <c r="S55" s="38">
        <f t="shared" si="27"/>
        <v>25200</v>
      </c>
      <c r="T55" s="38">
        <f t="shared" si="27"/>
        <v>25200</v>
      </c>
      <c r="U55" s="38">
        <f t="shared" si="27"/>
        <v>25200</v>
      </c>
    </row>
    <row r="56" spans="1:22" x14ac:dyDescent="0.25">
      <c r="A56" s="35"/>
      <c r="B56" s="46"/>
      <c r="C56" s="36"/>
      <c r="D56" s="39">
        <f>D23</f>
        <v>0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22" x14ac:dyDescent="0.25">
      <c r="A57" s="35"/>
      <c r="B57" s="37" t="s">
        <v>29</v>
      </c>
      <c r="C57" s="36"/>
      <c r="D57" s="39">
        <f>D24</f>
        <v>0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22" x14ac:dyDescent="0.25">
      <c r="A58" s="35"/>
      <c r="B58" s="36" t="s">
        <v>42</v>
      </c>
      <c r="C58" s="36" t="s">
        <v>207</v>
      </c>
      <c r="D58" s="39">
        <f>D25</f>
        <v>1</v>
      </c>
      <c r="E58" s="39"/>
      <c r="F58" s="39">
        <f>E25</f>
        <v>533.33333333333337</v>
      </c>
      <c r="G58" s="39">
        <v>0</v>
      </c>
      <c r="H58" s="39">
        <f>D58*E58</f>
        <v>0</v>
      </c>
      <c r="I58" s="39">
        <f t="shared" ref="I58:U58" si="28">H58</f>
        <v>0</v>
      </c>
      <c r="J58" s="39">
        <f t="shared" si="28"/>
        <v>0</v>
      </c>
      <c r="K58" s="39">
        <f t="shared" si="28"/>
        <v>0</v>
      </c>
      <c r="L58" s="39">
        <f t="shared" si="28"/>
        <v>0</v>
      </c>
      <c r="M58" s="39">
        <f t="shared" si="28"/>
        <v>0</v>
      </c>
      <c r="N58" s="39">
        <f t="shared" si="28"/>
        <v>0</v>
      </c>
      <c r="O58" s="39">
        <f t="shared" si="28"/>
        <v>0</v>
      </c>
      <c r="P58" s="39">
        <f t="shared" si="28"/>
        <v>0</v>
      </c>
      <c r="Q58" s="39">
        <f t="shared" si="28"/>
        <v>0</v>
      </c>
      <c r="R58" s="39">
        <f t="shared" si="28"/>
        <v>0</v>
      </c>
      <c r="S58" s="39">
        <f t="shared" si="28"/>
        <v>0</v>
      </c>
      <c r="T58" s="39">
        <f t="shared" si="28"/>
        <v>0</v>
      </c>
      <c r="U58" s="39">
        <f t="shared" si="28"/>
        <v>0</v>
      </c>
      <c r="V58" s="47">
        <f>SUM(H58:U58)</f>
        <v>0</v>
      </c>
    </row>
    <row r="59" spans="1:22" x14ac:dyDescent="0.25">
      <c r="A59" s="35"/>
      <c r="B59" s="37" t="s">
        <v>31</v>
      </c>
      <c r="C59" s="36"/>
      <c r="D59" s="39"/>
      <c r="E59" s="39"/>
      <c r="F59" s="38">
        <f t="shared" ref="F59:U59" si="29">SUM(F58:F58)</f>
        <v>533.33333333333337</v>
      </c>
      <c r="G59" s="38">
        <f t="shared" si="29"/>
        <v>0</v>
      </c>
      <c r="H59" s="38">
        <f t="shared" si="29"/>
        <v>0</v>
      </c>
      <c r="I59" s="38">
        <f t="shared" si="29"/>
        <v>0</v>
      </c>
      <c r="J59" s="38">
        <f t="shared" si="29"/>
        <v>0</v>
      </c>
      <c r="K59" s="38">
        <f t="shared" si="29"/>
        <v>0</v>
      </c>
      <c r="L59" s="38">
        <f t="shared" si="29"/>
        <v>0</v>
      </c>
      <c r="M59" s="38">
        <f t="shared" si="29"/>
        <v>0</v>
      </c>
      <c r="N59" s="38">
        <f t="shared" si="29"/>
        <v>0</v>
      </c>
      <c r="O59" s="38">
        <f t="shared" si="29"/>
        <v>0</v>
      </c>
      <c r="P59" s="38">
        <f t="shared" si="29"/>
        <v>0</v>
      </c>
      <c r="Q59" s="38">
        <f t="shared" si="29"/>
        <v>0</v>
      </c>
      <c r="R59" s="38">
        <f t="shared" si="29"/>
        <v>0</v>
      </c>
      <c r="S59" s="38">
        <f t="shared" si="29"/>
        <v>0</v>
      </c>
      <c r="T59" s="38">
        <f t="shared" si="29"/>
        <v>0</v>
      </c>
      <c r="U59" s="38">
        <f t="shared" si="29"/>
        <v>0</v>
      </c>
    </row>
    <row r="60" spans="1:22" x14ac:dyDescent="0.25">
      <c r="A60" s="35"/>
      <c r="B60" s="37" t="s">
        <v>32</v>
      </c>
      <c r="C60" s="36"/>
      <c r="D60" s="39"/>
      <c r="E60" s="39"/>
      <c r="F60" s="38">
        <f t="shared" ref="F60:U60" si="30">F46+F55+F59</f>
        <v>277733.33333333331</v>
      </c>
      <c r="G60" s="38">
        <f t="shared" si="30"/>
        <v>277200</v>
      </c>
      <c r="H60" s="38">
        <f t="shared" si="30"/>
        <v>25200</v>
      </c>
      <c r="I60" s="38">
        <f t="shared" si="30"/>
        <v>25200</v>
      </c>
      <c r="J60" s="38">
        <f t="shared" si="30"/>
        <v>25200</v>
      </c>
      <c r="K60" s="38">
        <f t="shared" si="30"/>
        <v>25200</v>
      </c>
      <c r="L60" s="38">
        <f t="shared" si="30"/>
        <v>25200</v>
      </c>
      <c r="M60" s="38">
        <f t="shared" si="30"/>
        <v>25200</v>
      </c>
      <c r="N60" s="38">
        <f t="shared" si="30"/>
        <v>25200</v>
      </c>
      <c r="O60" s="38">
        <f t="shared" si="30"/>
        <v>25200</v>
      </c>
      <c r="P60" s="38">
        <f t="shared" si="30"/>
        <v>25200</v>
      </c>
      <c r="Q60" s="38">
        <f t="shared" si="30"/>
        <v>25200</v>
      </c>
      <c r="R60" s="38">
        <f t="shared" si="30"/>
        <v>25200</v>
      </c>
      <c r="S60" s="38">
        <f t="shared" si="30"/>
        <v>25200</v>
      </c>
      <c r="T60" s="38">
        <f t="shared" si="30"/>
        <v>25200</v>
      </c>
      <c r="U60" s="38">
        <f t="shared" si="30"/>
        <v>25200</v>
      </c>
    </row>
    <row r="61" spans="1:22" x14ac:dyDescent="0.25">
      <c r="A61" s="35"/>
      <c r="B61" s="37"/>
      <c r="C61" s="36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22" x14ac:dyDescent="0.25">
      <c r="A62" s="35"/>
      <c r="B62" s="37" t="s">
        <v>33</v>
      </c>
      <c r="C62" s="36" t="s">
        <v>207</v>
      </c>
      <c r="D62" s="39"/>
      <c r="E62" s="39"/>
      <c r="F62" s="39"/>
      <c r="G62" s="38">
        <f t="shared" ref="G62:U62" si="31">G40-G46-G55</f>
        <v>-227200</v>
      </c>
      <c r="H62" s="38">
        <f t="shared" si="31"/>
        <v>122000</v>
      </c>
      <c r="I62" s="38">
        <f t="shared" si="31"/>
        <v>122000</v>
      </c>
      <c r="J62" s="38">
        <f t="shared" si="31"/>
        <v>122000</v>
      </c>
      <c r="K62" s="38">
        <f t="shared" si="31"/>
        <v>122000</v>
      </c>
      <c r="L62" s="38">
        <f t="shared" si="31"/>
        <v>122000</v>
      </c>
      <c r="M62" s="38">
        <f t="shared" si="31"/>
        <v>122000</v>
      </c>
      <c r="N62" s="38">
        <f t="shared" si="31"/>
        <v>122000</v>
      </c>
      <c r="O62" s="38">
        <f t="shared" si="31"/>
        <v>122000</v>
      </c>
      <c r="P62" s="38">
        <f t="shared" si="31"/>
        <v>122000</v>
      </c>
      <c r="Q62" s="38">
        <f t="shared" si="31"/>
        <v>122000</v>
      </c>
      <c r="R62" s="38">
        <f t="shared" si="31"/>
        <v>122000</v>
      </c>
      <c r="S62" s="38">
        <f t="shared" si="31"/>
        <v>122000</v>
      </c>
      <c r="T62" s="38">
        <f t="shared" si="31"/>
        <v>122000</v>
      </c>
      <c r="U62" s="38">
        <f t="shared" si="31"/>
        <v>122000</v>
      </c>
    </row>
    <row r="63" spans="1:22" x14ac:dyDescent="0.25">
      <c r="A63" s="35"/>
      <c r="B63" s="37" t="s">
        <v>34</v>
      </c>
      <c r="C63" s="36" t="s">
        <v>207</v>
      </c>
      <c r="D63" s="39"/>
      <c r="E63" s="39"/>
      <c r="F63" s="39"/>
      <c r="G63" s="38">
        <f>G62-G59</f>
        <v>-227200</v>
      </c>
      <c r="H63" s="38">
        <f>-(H62-H59)</f>
        <v>-122000</v>
      </c>
      <c r="I63" s="38">
        <f>-(I62-I59)</f>
        <v>-122000</v>
      </c>
      <c r="J63" s="38">
        <f>J62-J59</f>
        <v>122000</v>
      </c>
      <c r="K63" s="38">
        <f>K62-K59</f>
        <v>122000</v>
      </c>
      <c r="L63" s="38">
        <f t="shared" ref="L63:U63" si="32">L62-L59</f>
        <v>122000</v>
      </c>
      <c r="M63" s="38">
        <f t="shared" si="32"/>
        <v>122000</v>
      </c>
      <c r="N63" s="38">
        <f t="shared" si="32"/>
        <v>122000</v>
      </c>
      <c r="O63" s="38">
        <f t="shared" si="32"/>
        <v>122000</v>
      </c>
      <c r="P63" s="38">
        <f t="shared" si="32"/>
        <v>122000</v>
      </c>
      <c r="Q63" s="38">
        <f t="shared" si="32"/>
        <v>122000</v>
      </c>
      <c r="R63" s="38">
        <f t="shared" si="32"/>
        <v>122000</v>
      </c>
      <c r="S63" s="38">
        <f t="shared" si="32"/>
        <v>122000</v>
      </c>
      <c r="T63" s="38">
        <f t="shared" si="32"/>
        <v>122000</v>
      </c>
      <c r="U63" s="38">
        <f t="shared" si="32"/>
        <v>122000</v>
      </c>
    </row>
    <row r="64" spans="1:22" x14ac:dyDescent="0.25">
      <c r="A64" s="1"/>
      <c r="B64" s="116" t="s">
        <v>38</v>
      </c>
      <c r="C64" s="117"/>
      <c r="D64" s="117"/>
      <c r="E64" s="117"/>
      <c r="F64" s="118"/>
      <c r="G64" s="52">
        <f>IRR(G63:U63)</f>
        <v>0.18083253443643299</v>
      </c>
      <c r="H64" s="53"/>
      <c r="I64" s="53"/>
      <c r="J64" s="53"/>
      <c r="K64" s="53"/>
      <c r="L64" s="53"/>
      <c r="M64" s="53"/>
      <c r="N64" s="53"/>
      <c r="O64" s="53"/>
      <c r="P64" s="53"/>
    </row>
    <row r="65" spans="1:16" x14ac:dyDescent="0.25">
      <c r="A65" s="1"/>
      <c r="B65" s="116" t="s">
        <v>39</v>
      </c>
      <c r="C65" s="117"/>
      <c r="D65" s="117"/>
      <c r="E65" s="117"/>
      <c r="F65" s="118"/>
      <c r="G65" s="54">
        <f>NPV(0.1,G63:U63)</f>
        <v>225513.45033310601</v>
      </c>
      <c r="H65" s="53"/>
      <c r="I65" s="53"/>
      <c r="J65" s="53"/>
      <c r="K65" s="53"/>
      <c r="L65" s="53"/>
      <c r="M65" s="53"/>
      <c r="N65" s="53"/>
      <c r="O65" s="53"/>
      <c r="P65" s="53"/>
    </row>
  </sheetData>
  <mergeCells count="8">
    <mergeCell ref="B64:F64"/>
    <mergeCell ref="B65:F65"/>
    <mergeCell ref="B1:P1"/>
    <mergeCell ref="G2:P2"/>
    <mergeCell ref="B31:F31"/>
    <mergeCell ref="B32:F32"/>
    <mergeCell ref="B34:P34"/>
    <mergeCell ref="G35:P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D355-10AC-4BAE-B871-FDD6ECAC3E17}">
  <dimension ref="A1:V67"/>
  <sheetViews>
    <sheetView topLeftCell="B1" workbookViewId="0">
      <selection activeCell="D17" sqref="D17"/>
    </sheetView>
  </sheetViews>
  <sheetFormatPr defaultColWidth="15.7109375" defaultRowHeight="15" x14ac:dyDescent="0.25"/>
  <cols>
    <col min="2" max="2" width="34" customWidth="1"/>
  </cols>
  <sheetData>
    <row r="1" spans="1:21" x14ac:dyDescent="0.25">
      <c r="A1" s="35"/>
      <c r="B1" s="113" t="s">
        <v>13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21" x14ac:dyDescent="0.25">
      <c r="A2" s="35"/>
      <c r="B2" s="36"/>
      <c r="C2" s="37" t="s">
        <v>14</v>
      </c>
      <c r="D2" s="38" t="s">
        <v>15</v>
      </c>
      <c r="E2" s="38" t="s">
        <v>16</v>
      </c>
      <c r="F2" s="38" t="s">
        <v>17</v>
      </c>
      <c r="G2" s="114" t="s">
        <v>18</v>
      </c>
      <c r="H2" s="115"/>
      <c r="I2" s="115"/>
      <c r="J2" s="115"/>
      <c r="K2" s="115"/>
      <c r="L2" s="115"/>
      <c r="M2" s="115"/>
      <c r="N2" s="115"/>
      <c r="O2" s="115"/>
      <c r="P2" s="115"/>
    </row>
    <row r="3" spans="1:21" x14ac:dyDescent="0.25">
      <c r="A3" s="35"/>
      <c r="B3" s="37" t="s">
        <v>19</v>
      </c>
      <c r="C3" s="36"/>
      <c r="D3" s="39"/>
      <c r="E3" s="39"/>
      <c r="F3" s="39"/>
      <c r="G3" s="39">
        <v>1</v>
      </c>
      <c r="H3" s="39">
        <f t="shared" ref="H3:P3" si="0">G3+1</f>
        <v>2</v>
      </c>
      <c r="I3" s="39">
        <f t="shared" si="0"/>
        <v>3</v>
      </c>
      <c r="J3" s="39">
        <f t="shared" si="0"/>
        <v>4</v>
      </c>
      <c r="K3" s="39">
        <f t="shared" si="0"/>
        <v>5</v>
      </c>
      <c r="L3" s="39">
        <f t="shared" si="0"/>
        <v>6</v>
      </c>
      <c r="M3" s="39">
        <f t="shared" si="0"/>
        <v>7</v>
      </c>
      <c r="N3" s="39">
        <f t="shared" si="0"/>
        <v>8</v>
      </c>
      <c r="O3" s="39">
        <f t="shared" si="0"/>
        <v>9</v>
      </c>
      <c r="P3" s="39">
        <f t="shared" si="0"/>
        <v>10</v>
      </c>
      <c r="Q3">
        <v>11</v>
      </c>
      <c r="R3">
        <v>12</v>
      </c>
      <c r="S3">
        <v>13</v>
      </c>
      <c r="T3">
        <v>14</v>
      </c>
      <c r="U3">
        <v>15</v>
      </c>
    </row>
    <row r="4" spans="1:21" ht="20.25" customHeight="1" x14ac:dyDescent="0.25">
      <c r="A4" s="35"/>
      <c r="B4" s="60" t="s">
        <v>124</v>
      </c>
      <c r="C4" s="36" t="s">
        <v>116</v>
      </c>
      <c r="D4" s="39">
        <v>80000</v>
      </c>
      <c r="E4" s="39">
        <v>2.5</v>
      </c>
      <c r="F4" s="39">
        <v>0</v>
      </c>
      <c r="G4" s="39">
        <v>0</v>
      </c>
      <c r="H4" s="39">
        <f>I4</f>
        <v>200000</v>
      </c>
      <c r="I4" s="39">
        <f>J4</f>
        <v>200000</v>
      </c>
      <c r="J4" s="39">
        <f>D4*E4</f>
        <v>200000</v>
      </c>
      <c r="K4" s="39">
        <f t="shared" ref="K4:U7" si="1">J4</f>
        <v>200000</v>
      </c>
      <c r="L4" s="39">
        <f t="shared" si="1"/>
        <v>200000</v>
      </c>
      <c r="M4" s="39">
        <f t="shared" si="1"/>
        <v>200000</v>
      </c>
      <c r="N4" s="39">
        <f t="shared" si="1"/>
        <v>200000</v>
      </c>
      <c r="O4" s="39">
        <f t="shared" si="1"/>
        <v>200000</v>
      </c>
      <c r="P4" s="39">
        <f t="shared" si="1"/>
        <v>200000</v>
      </c>
      <c r="Q4" s="39">
        <f t="shared" si="1"/>
        <v>200000</v>
      </c>
      <c r="R4" s="39">
        <f t="shared" si="1"/>
        <v>200000</v>
      </c>
      <c r="S4" s="39">
        <f t="shared" si="1"/>
        <v>200000</v>
      </c>
      <c r="T4" s="39">
        <f t="shared" si="1"/>
        <v>200000</v>
      </c>
      <c r="U4" s="39">
        <f t="shared" si="1"/>
        <v>200000</v>
      </c>
    </row>
    <row r="5" spans="1:21" ht="24.75" customHeight="1" x14ac:dyDescent="0.25">
      <c r="A5" s="35"/>
      <c r="B5" s="60"/>
      <c r="C5" s="36"/>
      <c r="D5" s="39"/>
      <c r="E5" s="39">
        <v>0</v>
      </c>
      <c r="F5" s="39">
        <v>0</v>
      </c>
      <c r="G5" s="39"/>
      <c r="H5" s="39">
        <f>E5</f>
        <v>0</v>
      </c>
      <c r="I5" s="39">
        <f>E5</f>
        <v>0</v>
      </c>
      <c r="J5" s="39">
        <f t="shared" ref="J5" si="2">I5</f>
        <v>0</v>
      </c>
      <c r="K5" s="39">
        <f t="shared" si="1"/>
        <v>0</v>
      </c>
      <c r="L5" s="39">
        <f t="shared" si="1"/>
        <v>0</v>
      </c>
      <c r="M5" s="39">
        <f t="shared" si="1"/>
        <v>0</v>
      </c>
      <c r="N5" s="39">
        <f t="shared" si="1"/>
        <v>0</v>
      </c>
      <c r="O5" s="39">
        <f t="shared" si="1"/>
        <v>0</v>
      </c>
      <c r="P5" s="39">
        <f t="shared" si="1"/>
        <v>0</v>
      </c>
      <c r="Q5" s="39">
        <f t="shared" si="1"/>
        <v>0</v>
      </c>
      <c r="R5" s="39">
        <f t="shared" si="1"/>
        <v>0</v>
      </c>
      <c r="S5" s="39">
        <f t="shared" si="1"/>
        <v>0</v>
      </c>
      <c r="T5" s="39">
        <f t="shared" si="1"/>
        <v>0</v>
      </c>
      <c r="U5" s="39">
        <f t="shared" si="1"/>
        <v>0</v>
      </c>
    </row>
    <row r="6" spans="1:21" ht="24.75" customHeight="1" x14ac:dyDescent="0.25">
      <c r="A6" s="35"/>
      <c r="B6" s="60"/>
      <c r="C6" s="36"/>
      <c r="D6" s="39"/>
      <c r="E6" s="39"/>
      <c r="F6" s="39"/>
      <c r="G6" s="39"/>
      <c r="H6" s="39"/>
      <c r="I6" s="39"/>
      <c r="J6" s="39"/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39">
        <f t="shared" si="1"/>
        <v>0</v>
      </c>
      <c r="P6" s="39">
        <f t="shared" si="1"/>
        <v>0</v>
      </c>
      <c r="Q6" s="39">
        <f t="shared" si="1"/>
        <v>0</v>
      </c>
      <c r="R6" s="39">
        <f t="shared" si="1"/>
        <v>0</v>
      </c>
      <c r="S6" s="39">
        <f t="shared" si="1"/>
        <v>0</v>
      </c>
      <c r="T6" s="39">
        <f t="shared" si="1"/>
        <v>0</v>
      </c>
      <c r="U6" s="39">
        <f t="shared" si="1"/>
        <v>0</v>
      </c>
    </row>
    <row r="7" spans="1:21" x14ac:dyDescent="0.25">
      <c r="A7" s="35"/>
      <c r="B7" s="61"/>
      <c r="C7" s="36"/>
      <c r="D7" s="39"/>
      <c r="E7" s="39"/>
      <c r="F7" s="39"/>
      <c r="G7" s="39">
        <f>F7</f>
        <v>0</v>
      </c>
      <c r="H7" s="39">
        <f>F7</f>
        <v>0</v>
      </c>
      <c r="I7" s="39">
        <f>G7</f>
        <v>0</v>
      </c>
      <c r="J7" s="39">
        <f>H7</f>
        <v>0</v>
      </c>
      <c r="K7" s="39">
        <f t="shared" si="1"/>
        <v>0</v>
      </c>
      <c r="L7" s="39">
        <f t="shared" si="1"/>
        <v>0</v>
      </c>
      <c r="M7" s="39">
        <f t="shared" si="1"/>
        <v>0</v>
      </c>
      <c r="N7" s="39">
        <f t="shared" si="1"/>
        <v>0</v>
      </c>
      <c r="O7" s="39">
        <f t="shared" si="1"/>
        <v>0</v>
      </c>
      <c r="P7" s="39">
        <f t="shared" si="1"/>
        <v>0</v>
      </c>
      <c r="Q7" s="39">
        <f t="shared" si="1"/>
        <v>0</v>
      </c>
      <c r="R7" s="39">
        <f t="shared" si="1"/>
        <v>0</v>
      </c>
      <c r="S7" s="39">
        <f t="shared" si="1"/>
        <v>0</v>
      </c>
      <c r="T7" s="39">
        <f t="shared" si="1"/>
        <v>0</v>
      </c>
      <c r="U7" s="39">
        <f t="shared" si="1"/>
        <v>0</v>
      </c>
    </row>
    <row r="8" spans="1:21" x14ac:dyDescent="0.25">
      <c r="A8" s="35"/>
      <c r="B8" s="37" t="s">
        <v>21</v>
      </c>
      <c r="C8" s="36"/>
      <c r="D8" s="39"/>
      <c r="E8" s="39"/>
      <c r="F8" s="38">
        <f t="shared" ref="F8:U8" si="3">SUM(F4:F7)</f>
        <v>0</v>
      </c>
      <c r="G8" s="38">
        <f t="shared" si="3"/>
        <v>0</v>
      </c>
      <c r="H8" s="38">
        <f t="shared" si="3"/>
        <v>200000</v>
      </c>
      <c r="I8" s="38">
        <f t="shared" si="3"/>
        <v>200000</v>
      </c>
      <c r="J8" s="38">
        <f t="shared" si="3"/>
        <v>200000</v>
      </c>
      <c r="K8" s="38">
        <f t="shared" si="3"/>
        <v>200000</v>
      </c>
      <c r="L8" s="38">
        <f t="shared" si="3"/>
        <v>200000</v>
      </c>
      <c r="M8" s="38">
        <f t="shared" si="3"/>
        <v>200000</v>
      </c>
      <c r="N8" s="38">
        <f t="shared" si="3"/>
        <v>200000</v>
      </c>
      <c r="O8" s="38">
        <f t="shared" si="3"/>
        <v>200000</v>
      </c>
      <c r="P8" s="38">
        <f t="shared" si="3"/>
        <v>200000</v>
      </c>
      <c r="Q8" s="38">
        <f t="shared" si="3"/>
        <v>200000</v>
      </c>
      <c r="R8" s="38">
        <f t="shared" si="3"/>
        <v>200000</v>
      </c>
      <c r="S8" s="38">
        <f t="shared" si="3"/>
        <v>200000</v>
      </c>
      <c r="T8" s="38">
        <f t="shared" si="3"/>
        <v>200000</v>
      </c>
      <c r="U8" s="38">
        <f t="shared" si="3"/>
        <v>200000</v>
      </c>
    </row>
    <row r="9" spans="1:21" x14ac:dyDescent="0.25">
      <c r="A9" s="35"/>
      <c r="B9" s="36"/>
      <c r="C9" s="36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21" x14ac:dyDescent="0.25">
      <c r="A10" s="35"/>
      <c r="B10" s="42" t="s">
        <v>110</v>
      </c>
      <c r="C10" s="36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21" x14ac:dyDescent="0.25">
      <c r="A11" s="35"/>
      <c r="B11" s="37" t="s">
        <v>23</v>
      </c>
      <c r="C11" s="36"/>
      <c r="D11" s="39"/>
      <c r="E11" s="39"/>
      <c r="F11" s="43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2" spans="1:21" x14ac:dyDescent="0.25">
      <c r="A12" s="35"/>
      <c r="B12" s="97" t="s">
        <v>129</v>
      </c>
      <c r="C12" s="36" t="s">
        <v>25</v>
      </c>
      <c r="D12" s="39">
        <v>10</v>
      </c>
      <c r="E12" s="39">
        <v>30000</v>
      </c>
      <c r="F12" s="39">
        <f>D12*E12</f>
        <v>300000</v>
      </c>
      <c r="G12" s="39">
        <f>D12*E12</f>
        <v>300000</v>
      </c>
      <c r="H12" s="39">
        <f>G12</f>
        <v>300000</v>
      </c>
      <c r="I12" s="39">
        <v>0</v>
      </c>
      <c r="J12" s="39"/>
      <c r="K12" s="39"/>
      <c r="L12" s="39">
        <v>10000</v>
      </c>
      <c r="M12" s="39"/>
      <c r="N12" s="39"/>
      <c r="O12" s="39">
        <v>10000</v>
      </c>
      <c r="P12" s="39"/>
      <c r="R12">
        <v>10000</v>
      </c>
      <c r="U12" s="47">
        <v>10000</v>
      </c>
    </row>
    <row r="13" spans="1:21" x14ac:dyDescent="0.25">
      <c r="A13" s="35"/>
      <c r="B13" s="37" t="s">
        <v>26</v>
      </c>
      <c r="C13" s="36"/>
      <c r="D13" s="39"/>
      <c r="E13" s="39"/>
      <c r="F13" s="38">
        <f t="shared" ref="F13:U13" si="4">SUM(F12:F12)</f>
        <v>300000</v>
      </c>
      <c r="G13" s="38">
        <f t="shared" si="4"/>
        <v>300000</v>
      </c>
      <c r="H13" s="38">
        <f t="shared" si="4"/>
        <v>300000</v>
      </c>
      <c r="I13" s="38">
        <f t="shared" si="4"/>
        <v>0</v>
      </c>
      <c r="J13" s="38">
        <f t="shared" si="4"/>
        <v>0</v>
      </c>
      <c r="K13" s="38">
        <f t="shared" si="4"/>
        <v>0</v>
      </c>
      <c r="L13" s="38">
        <f t="shared" si="4"/>
        <v>10000</v>
      </c>
      <c r="M13" s="38">
        <f t="shared" si="4"/>
        <v>0</v>
      </c>
      <c r="N13" s="38">
        <f t="shared" si="4"/>
        <v>0</v>
      </c>
      <c r="O13" s="38">
        <f t="shared" si="4"/>
        <v>10000</v>
      </c>
      <c r="P13" s="38">
        <f t="shared" si="4"/>
        <v>0</v>
      </c>
      <c r="Q13" s="38">
        <f t="shared" si="4"/>
        <v>0</v>
      </c>
      <c r="R13" s="38">
        <f t="shared" si="4"/>
        <v>10000</v>
      </c>
      <c r="S13" s="38">
        <f t="shared" si="4"/>
        <v>0</v>
      </c>
      <c r="T13" s="38">
        <f t="shared" si="4"/>
        <v>0</v>
      </c>
      <c r="U13" s="38">
        <f t="shared" si="4"/>
        <v>10000</v>
      </c>
    </row>
    <row r="14" spans="1:21" x14ac:dyDescent="0.25">
      <c r="A14" s="35"/>
      <c r="B14" s="36"/>
      <c r="C14" s="36"/>
      <c r="D14" s="39"/>
      <c r="E14" s="39"/>
      <c r="F14" s="39">
        <f t="shared" ref="F14:F15" si="5">D14*E14</f>
        <v>0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21" x14ac:dyDescent="0.25">
      <c r="A15" s="35"/>
      <c r="B15" s="37" t="s">
        <v>115</v>
      </c>
      <c r="C15" s="36"/>
      <c r="D15" s="39"/>
      <c r="E15" s="39"/>
      <c r="F15" s="39">
        <f t="shared" si="5"/>
        <v>0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21" ht="29.25" x14ac:dyDescent="0.25">
      <c r="B16" s="123" t="s">
        <v>214</v>
      </c>
      <c r="C16" s="36" t="s">
        <v>213</v>
      </c>
      <c r="D16" s="39">
        <v>10</v>
      </c>
      <c r="E16" s="39">
        <v>1000</v>
      </c>
      <c r="F16" s="39">
        <f>F13*0.1</f>
        <v>30000</v>
      </c>
      <c r="G16" s="39">
        <f>F16</f>
        <v>30000</v>
      </c>
      <c r="H16" s="39">
        <f>G16</f>
        <v>30000</v>
      </c>
      <c r="I16" s="39">
        <f t="shared" ref="I16:U20" si="6">H16</f>
        <v>30000</v>
      </c>
      <c r="J16" s="39">
        <f t="shared" si="6"/>
        <v>30000</v>
      </c>
      <c r="K16" s="39">
        <f t="shared" si="6"/>
        <v>30000</v>
      </c>
      <c r="L16" s="39">
        <f t="shared" si="6"/>
        <v>30000</v>
      </c>
      <c r="M16" s="39">
        <f t="shared" si="6"/>
        <v>30000</v>
      </c>
      <c r="N16" s="39">
        <f t="shared" si="6"/>
        <v>30000</v>
      </c>
      <c r="O16" s="39">
        <f t="shared" si="6"/>
        <v>30000</v>
      </c>
      <c r="P16" s="39">
        <f t="shared" si="6"/>
        <v>30000</v>
      </c>
      <c r="Q16" s="39">
        <f t="shared" si="6"/>
        <v>30000</v>
      </c>
      <c r="R16" s="39">
        <f t="shared" si="6"/>
        <v>30000</v>
      </c>
      <c r="S16" s="39">
        <f t="shared" si="6"/>
        <v>30000</v>
      </c>
      <c r="T16" s="39">
        <f t="shared" si="6"/>
        <v>30000</v>
      </c>
      <c r="U16" s="39">
        <f t="shared" si="6"/>
        <v>30000</v>
      </c>
    </row>
    <row r="17" spans="1:22" x14ac:dyDescent="0.25">
      <c r="B17" s="99"/>
      <c r="C17" s="36"/>
      <c r="D17" s="39">
        <v>200</v>
      </c>
      <c r="E17" s="39">
        <v>1500</v>
      </c>
      <c r="F17" s="39">
        <v>0</v>
      </c>
      <c r="G17" s="39">
        <f>F17</f>
        <v>0</v>
      </c>
      <c r="H17" s="39">
        <f t="shared" ref="H17:T20" si="7">G17</f>
        <v>0</v>
      </c>
      <c r="I17" s="39">
        <f t="shared" si="6"/>
        <v>0</v>
      </c>
      <c r="J17" s="39">
        <f t="shared" si="6"/>
        <v>0</v>
      </c>
      <c r="K17" s="39">
        <f t="shared" si="7"/>
        <v>0</v>
      </c>
      <c r="L17" s="39">
        <f t="shared" si="6"/>
        <v>0</v>
      </c>
      <c r="M17" s="39">
        <f t="shared" si="6"/>
        <v>0</v>
      </c>
      <c r="N17" s="39">
        <f t="shared" si="7"/>
        <v>0</v>
      </c>
      <c r="O17" s="39">
        <f t="shared" si="6"/>
        <v>0</v>
      </c>
      <c r="P17" s="39">
        <f t="shared" si="6"/>
        <v>0</v>
      </c>
      <c r="Q17" s="39">
        <f t="shared" si="7"/>
        <v>0</v>
      </c>
      <c r="R17" s="39">
        <f t="shared" si="6"/>
        <v>0</v>
      </c>
      <c r="S17" s="39">
        <f t="shared" si="6"/>
        <v>0</v>
      </c>
      <c r="T17" s="39">
        <f t="shared" si="7"/>
        <v>0</v>
      </c>
      <c r="U17" s="39">
        <f t="shared" si="6"/>
        <v>0</v>
      </c>
    </row>
    <row r="18" spans="1:22" x14ac:dyDescent="0.25">
      <c r="A18" s="35"/>
      <c r="B18" s="99"/>
      <c r="C18" s="36"/>
      <c r="D18" s="39"/>
      <c r="E18" s="39"/>
      <c r="F18" s="39">
        <v>0</v>
      </c>
      <c r="G18" s="39">
        <f>F18</f>
        <v>0</v>
      </c>
      <c r="H18" s="39">
        <f>G18</f>
        <v>0</v>
      </c>
      <c r="I18" s="39">
        <f t="shared" si="6"/>
        <v>0</v>
      </c>
      <c r="J18" s="39">
        <f>J4*0.75</f>
        <v>150000</v>
      </c>
      <c r="K18" s="39">
        <f t="shared" si="7"/>
        <v>150000</v>
      </c>
      <c r="L18" s="39">
        <f t="shared" si="6"/>
        <v>150000</v>
      </c>
      <c r="M18" s="39">
        <f t="shared" si="6"/>
        <v>150000</v>
      </c>
      <c r="N18" s="39">
        <f t="shared" si="7"/>
        <v>150000</v>
      </c>
      <c r="O18" s="39">
        <f t="shared" si="6"/>
        <v>150000</v>
      </c>
      <c r="P18" s="39">
        <f t="shared" si="6"/>
        <v>150000</v>
      </c>
      <c r="Q18" s="39">
        <f t="shared" si="7"/>
        <v>150000</v>
      </c>
      <c r="R18" s="39">
        <f t="shared" si="6"/>
        <v>150000</v>
      </c>
      <c r="S18" s="39">
        <f t="shared" si="6"/>
        <v>150000</v>
      </c>
      <c r="T18" s="39">
        <f t="shared" si="7"/>
        <v>150000</v>
      </c>
      <c r="U18" s="39">
        <f t="shared" si="6"/>
        <v>150000</v>
      </c>
    </row>
    <row r="19" spans="1:22" x14ac:dyDescent="0.25">
      <c r="A19" s="35"/>
      <c r="B19" s="99"/>
      <c r="C19" s="36"/>
      <c r="D19" s="39"/>
      <c r="E19" s="39"/>
      <c r="F19" s="39">
        <v>0</v>
      </c>
      <c r="G19" s="39">
        <f>F19</f>
        <v>0</v>
      </c>
      <c r="H19" s="39">
        <f>G19</f>
        <v>0</v>
      </c>
      <c r="I19" s="39">
        <f t="shared" si="6"/>
        <v>0</v>
      </c>
      <c r="J19" s="39">
        <v>10000</v>
      </c>
      <c r="K19" s="39">
        <f t="shared" si="7"/>
        <v>10000</v>
      </c>
      <c r="L19" s="39">
        <f t="shared" si="6"/>
        <v>10000</v>
      </c>
      <c r="M19" s="39">
        <f t="shared" si="6"/>
        <v>10000</v>
      </c>
      <c r="N19" s="39">
        <f t="shared" si="7"/>
        <v>10000</v>
      </c>
      <c r="O19" s="39">
        <f t="shared" si="6"/>
        <v>10000</v>
      </c>
      <c r="P19" s="39">
        <f t="shared" si="6"/>
        <v>10000</v>
      </c>
      <c r="Q19" s="39">
        <f t="shared" si="7"/>
        <v>10000</v>
      </c>
      <c r="R19" s="39">
        <f t="shared" si="6"/>
        <v>10000</v>
      </c>
      <c r="S19" s="39">
        <f t="shared" si="6"/>
        <v>10000</v>
      </c>
      <c r="T19" s="39">
        <f t="shared" si="7"/>
        <v>10000</v>
      </c>
      <c r="U19" s="39">
        <f t="shared" si="6"/>
        <v>10000</v>
      </c>
      <c r="V19" s="45"/>
    </row>
    <row r="20" spans="1:22" x14ac:dyDescent="0.25">
      <c r="A20" s="35"/>
      <c r="B20" s="99"/>
      <c r="C20" s="36"/>
      <c r="D20" s="39"/>
      <c r="E20" s="39"/>
      <c r="F20" s="39">
        <v>0</v>
      </c>
      <c r="G20" s="39">
        <f>F20</f>
        <v>0</v>
      </c>
      <c r="H20" s="39">
        <f>G20</f>
        <v>0</v>
      </c>
      <c r="I20" s="39">
        <f t="shared" si="6"/>
        <v>0</v>
      </c>
      <c r="J20" s="39">
        <f t="shared" ref="J20" si="8">I20</f>
        <v>0</v>
      </c>
      <c r="K20" s="39">
        <f t="shared" si="7"/>
        <v>0</v>
      </c>
      <c r="L20" s="39">
        <f t="shared" si="6"/>
        <v>0</v>
      </c>
      <c r="M20" s="39">
        <f t="shared" si="6"/>
        <v>0</v>
      </c>
      <c r="N20" s="39">
        <f t="shared" si="7"/>
        <v>0</v>
      </c>
      <c r="O20" s="39">
        <f t="shared" si="6"/>
        <v>0</v>
      </c>
      <c r="P20" s="39">
        <f t="shared" si="6"/>
        <v>0</v>
      </c>
      <c r="Q20" s="39">
        <f t="shared" si="7"/>
        <v>0</v>
      </c>
      <c r="R20" s="39">
        <f t="shared" si="6"/>
        <v>0</v>
      </c>
      <c r="S20" s="39">
        <f t="shared" si="6"/>
        <v>0</v>
      </c>
      <c r="T20" s="39">
        <f t="shared" si="7"/>
        <v>0</v>
      </c>
      <c r="U20" s="39">
        <f t="shared" si="6"/>
        <v>0</v>
      </c>
      <c r="V20" s="45"/>
    </row>
    <row r="21" spans="1:22" x14ac:dyDescent="0.25">
      <c r="A21" s="35"/>
      <c r="B21" s="99"/>
      <c r="C21" s="36"/>
      <c r="D21" s="39"/>
      <c r="E21" s="39"/>
      <c r="F21" s="39">
        <v>0</v>
      </c>
      <c r="G21" s="39">
        <f t="shared" ref="G21:U21" si="9">F21</f>
        <v>0</v>
      </c>
      <c r="H21" s="39">
        <f t="shared" si="9"/>
        <v>0</v>
      </c>
      <c r="I21" s="39">
        <f t="shared" si="9"/>
        <v>0</v>
      </c>
      <c r="J21" s="39">
        <f t="shared" si="9"/>
        <v>0</v>
      </c>
      <c r="K21" s="39">
        <f t="shared" si="9"/>
        <v>0</v>
      </c>
      <c r="L21" s="39">
        <f t="shared" si="9"/>
        <v>0</v>
      </c>
      <c r="M21" s="39">
        <f t="shared" si="9"/>
        <v>0</v>
      </c>
      <c r="N21" s="39">
        <f t="shared" si="9"/>
        <v>0</v>
      </c>
      <c r="O21" s="39">
        <f t="shared" si="9"/>
        <v>0</v>
      </c>
      <c r="P21" s="39">
        <f t="shared" si="9"/>
        <v>0</v>
      </c>
      <c r="Q21" s="39">
        <f t="shared" si="9"/>
        <v>0</v>
      </c>
      <c r="R21" s="39">
        <f t="shared" si="9"/>
        <v>0</v>
      </c>
      <c r="S21" s="39">
        <f t="shared" si="9"/>
        <v>0</v>
      </c>
      <c r="T21" s="39">
        <f t="shared" si="9"/>
        <v>0</v>
      </c>
      <c r="U21" s="39">
        <f t="shared" si="9"/>
        <v>0</v>
      </c>
      <c r="V21" s="45"/>
    </row>
    <row r="22" spans="1:22" x14ac:dyDescent="0.25">
      <c r="A22" s="35"/>
      <c r="B22" s="44"/>
      <c r="C22" s="36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 spans="1:22" x14ac:dyDescent="0.25">
      <c r="A23" s="35"/>
      <c r="B23" s="37" t="s">
        <v>28</v>
      </c>
      <c r="C23" s="36"/>
      <c r="D23" s="39"/>
      <c r="E23" s="39"/>
      <c r="F23" s="38">
        <f>SUM(F16:F22)</f>
        <v>30000</v>
      </c>
      <c r="G23" s="38">
        <f t="shared" ref="G23:U23" si="10">SUM(G16:G22)</f>
        <v>30000</v>
      </c>
      <c r="H23" s="38">
        <f t="shared" si="10"/>
        <v>30000</v>
      </c>
      <c r="I23" s="38">
        <f t="shared" si="10"/>
        <v>30000</v>
      </c>
      <c r="J23" s="38">
        <f t="shared" si="10"/>
        <v>190000</v>
      </c>
      <c r="K23" s="38">
        <f t="shared" si="10"/>
        <v>190000</v>
      </c>
      <c r="L23" s="38">
        <f t="shared" si="10"/>
        <v>190000</v>
      </c>
      <c r="M23" s="38">
        <f t="shared" si="10"/>
        <v>190000</v>
      </c>
      <c r="N23" s="38">
        <f t="shared" si="10"/>
        <v>190000</v>
      </c>
      <c r="O23" s="38">
        <f t="shared" si="10"/>
        <v>190000</v>
      </c>
      <c r="P23" s="38">
        <f t="shared" si="10"/>
        <v>190000</v>
      </c>
      <c r="Q23" s="38">
        <f t="shared" si="10"/>
        <v>190000</v>
      </c>
      <c r="R23" s="38">
        <f t="shared" si="10"/>
        <v>190000</v>
      </c>
      <c r="S23" s="38">
        <f t="shared" si="10"/>
        <v>190000</v>
      </c>
      <c r="T23" s="38">
        <f t="shared" si="10"/>
        <v>190000</v>
      </c>
      <c r="U23" s="38">
        <f t="shared" si="10"/>
        <v>190000</v>
      </c>
    </row>
    <row r="24" spans="1:22" x14ac:dyDescent="0.25">
      <c r="A24" s="35"/>
      <c r="B24" s="46"/>
      <c r="C24" s="36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1:22" x14ac:dyDescent="0.25">
      <c r="A25" s="35"/>
      <c r="B25" s="37" t="s">
        <v>29</v>
      </c>
      <c r="C25" s="36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1:22" x14ac:dyDescent="0.25">
      <c r="A26" s="35"/>
      <c r="B26" s="36" t="s">
        <v>30</v>
      </c>
      <c r="C26" s="36" t="s">
        <v>218</v>
      </c>
      <c r="D26" s="39">
        <v>1</v>
      </c>
      <c r="E26" s="48">
        <f>E12/15</f>
        <v>2000</v>
      </c>
      <c r="F26" s="39">
        <f>D26*E26</f>
        <v>2000</v>
      </c>
      <c r="G26" s="39"/>
      <c r="H26" s="39">
        <f>D26*E26</f>
        <v>2000</v>
      </c>
      <c r="I26" s="39">
        <f t="shared" ref="I26:U26" si="11">H26</f>
        <v>2000</v>
      </c>
      <c r="J26" s="39">
        <f t="shared" si="11"/>
        <v>2000</v>
      </c>
      <c r="K26" s="39">
        <f t="shared" si="11"/>
        <v>2000</v>
      </c>
      <c r="L26" s="39">
        <f t="shared" si="11"/>
        <v>2000</v>
      </c>
      <c r="M26" s="39">
        <f t="shared" si="11"/>
        <v>2000</v>
      </c>
      <c r="N26" s="39">
        <f t="shared" si="11"/>
        <v>2000</v>
      </c>
      <c r="O26" s="39">
        <f t="shared" si="11"/>
        <v>2000</v>
      </c>
      <c r="P26" s="39">
        <f t="shared" si="11"/>
        <v>2000</v>
      </c>
      <c r="Q26" s="39">
        <f t="shared" si="11"/>
        <v>2000</v>
      </c>
      <c r="R26" s="39">
        <f t="shared" si="11"/>
        <v>2000</v>
      </c>
      <c r="S26" s="39">
        <f t="shared" si="11"/>
        <v>2000</v>
      </c>
      <c r="T26" s="39">
        <f t="shared" si="11"/>
        <v>2000</v>
      </c>
      <c r="U26" s="39">
        <f t="shared" si="11"/>
        <v>2000</v>
      </c>
      <c r="V26" s="47">
        <f>SUM(H26:U26)</f>
        <v>28000</v>
      </c>
    </row>
    <row r="27" spans="1:22" x14ac:dyDescent="0.25">
      <c r="A27" s="35"/>
      <c r="B27" s="37" t="s">
        <v>31</v>
      </c>
      <c r="C27" s="36"/>
      <c r="D27" s="39"/>
      <c r="E27" s="39"/>
      <c r="F27" s="38">
        <f t="shared" ref="F27:U27" si="12">SUM(F26:F26)</f>
        <v>2000</v>
      </c>
      <c r="G27" s="38">
        <f t="shared" si="12"/>
        <v>0</v>
      </c>
      <c r="H27" s="38">
        <f t="shared" si="12"/>
        <v>2000</v>
      </c>
      <c r="I27" s="38">
        <f t="shared" si="12"/>
        <v>2000</v>
      </c>
      <c r="J27" s="38">
        <f t="shared" si="12"/>
        <v>2000</v>
      </c>
      <c r="K27" s="38">
        <f t="shared" si="12"/>
        <v>2000</v>
      </c>
      <c r="L27" s="38">
        <f t="shared" si="12"/>
        <v>2000</v>
      </c>
      <c r="M27" s="38">
        <f t="shared" si="12"/>
        <v>2000</v>
      </c>
      <c r="N27" s="38">
        <f t="shared" si="12"/>
        <v>2000</v>
      </c>
      <c r="O27" s="38">
        <f t="shared" si="12"/>
        <v>2000</v>
      </c>
      <c r="P27" s="38">
        <f t="shared" si="12"/>
        <v>2000</v>
      </c>
      <c r="Q27" s="38">
        <f t="shared" si="12"/>
        <v>2000</v>
      </c>
      <c r="R27" s="38">
        <f t="shared" si="12"/>
        <v>2000</v>
      </c>
      <c r="S27" s="38">
        <f t="shared" si="12"/>
        <v>2000</v>
      </c>
      <c r="T27" s="38">
        <f t="shared" si="12"/>
        <v>2000</v>
      </c>
      <c r="U27" s="38">
        <f t="shared" si="12"/>
        <v>2000</v>
      </c>
    </row>
    <row r="28" spans="1:22" x14ac:dyDescent="0.25">
      <c r="A28" s="35"/>
      <c r="B28" s="37" t="s">
        <v>32</v>
      </c>
      <c r="C28" s="36"/>
      <c r="D28" s="39"/>
      <c r="E28" s="39"/>
      <c r="F28" s="38">
        <f t="shared" ref="F28:U28" si="13">F13+F23+F27</f>
        <v>332000</v>
      </c>
      <c r="G28" s="38">
        <f t="shared" si="13"/>
        <v>330000</v>
      </c>
      <c r="H28" s="38">
        <f t="shared" si="13"/>
        <v>332000</v>
      </c>
      <c r="I28" s="38">
        <f t="shared" si="13"/>
        <v>32000</v>
      </c>
      <c r="J28" s="38">
        <f t="shared" si="13"/>
        <v>192000</v>
      </c>
      <c r="K28" s="38">
        <f t="shared" si="13"/>
        <v>192000</v>
      </c>
      <c r="L28" s="38">
        <f t="shared" si="13"/>
        <v>202000</v>
      </c>
      <c r="M28" s="38">
        <f t="shared" si="13"/>
        <v>192000</v>
      </c>
      <c r="N28" s="38">
        <f t="shared" si="13"/>
        <v>192000</v>
      </c>
      <c r="O28" s="38">
        <f t="shared" si="13"/>
        <v>202000</v>
      </c>
      <c r="P28" s="38">
        <f t="shared" si="13"/>
        <v>192000</v>
      </c>
      <c r="Q28" s="38">
        <f t="shared" si="13"/>
        <v>192000</v>
      </c>
      <c r="R28" s="38">
        <f t="shared" si="13"/>
        <v>202000</v>
      </c>
      <c r="S28" s="38">
        <f t="shared" si="13"/>
        <v>192000</v>
      </c>
      <c r="T28" s="38">
        <f t="shared" si="13"/>
        <v>192000</v>
      </c>
      <c r="U28" s="38">
        <f t="shared" si="13"/>
        <v>202000</v>
      </c>
    </row>
    <row r="29" spans="1:22" x14ac:dyDescent="0.25">
      <c r="A29" s="35"/>
      <c r="B29" s="37"/>
      <c r="C29" s="36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</row>
    <row r="30" spans="1:22" x14ac:dyDescent="0.25">
      <c r="A30" s="35"/>
      <c r="B30" s="37" t="s">
        <v>33</v>
      </c>
      <c r="C30" s="36" t="s">
        <v>216</v>
      </c>
      <c r="D30" s="39"/>
      <c r="E30" s="39"/>
      <c r="F30" s="39"/>
      <c r="G30" s="38">
        <f t="shared" ref="G30:U30" si="14">G8-G13-G23</f>
        <v>-330000</v>
      </c>
      <c r="H30" s="38">
        <f t="shared" si="14"/>
        <v>-130000</v>
      </c>
      <c r="I30" s="38">
        <f t="shared" si="14"/>
        <v>170000</v>
      </c>
      <c r="J30" s="38">
        <f t="shared" si="14"/>
        <v>10000</v>
      </c>
      <c r="K30" s="38">
        <f t="shared" si="14"/>
        <v>10000</v>
      </c>
      <c r="L30" s="38">
        <f t="shared" si="14"/>
        <v>0</v>
      </c>
      <c r="M30" s="38">
        <f t="shared" si="14"/>
        <v>10000</v>
      </c>
      <c r="N30" s="38">
        <f t="shared" si="14"/>
        <v>10000</v>
      </c>
      <c r="O30" s="38">
        <f t="shared" si="14"/>
        <v>0</v>
      </c>
      <c r="P30" s="38">
        <f t="shared" si="14"/>
        <v>10000</v>
      </c>
      <c r="Q30" s="38">
        <f t="shared" si="14"/>
        <v>10000</v>
      </c>
      <c r="R30" s="38">
        <f t="shared" si="14"/>
        <v>0</v>
      </c>
      <c r="S30" s="38">
        <f t="shared" si="14"/>
        <v>10000</v>
      </c>
      <c r="T30" s="38">
        <f t="shared" si="14"/>
        <v>10000</v>
      </c>
      <c r="U30" s="38">
        <f t="shared" si="14"/>
        <v>0</v>
      </c>
    </row>
    <row r="31" spans="1:22" x14ac:dyDescent="0.25">
      <c r="A31" s="35"/>
      <c r="B31" s="37" t="s">
        <v>41</v>
      </c>
      <c r="C31" s="36" t="s">
        <v>215</v>
      </c>
      <c r="D31" s="39"/>
      <c r="E31" s="39"/>
      <c r="F31" s="39"/>
      <c r="G31" s="38">
        <f>G30-G27</f>
        <v>-330000</v>
      </c>
      <c r="H31" s="38">
        <f>H30-H27</f>
        <v>-132000</v>
      </c>
      <c r="I31" s="38">
        <f>I30-I27</f>
        <v>168000</v>
      </c>
      <c r="J31" s="38">
        <f>J30-J27</f>
        <v>8000</v>
      </c>
      <c r="K31" s="38">
        <f>K30-K27</f>
        <v>8000</v>
      </c>
      <c r="L31" s="38">
        <f t="shared" ref="L31:U31" si="15">L30-L27</f>
        <v>-2000</v>
      </c>
      <c r="M31" s="38">
        <f t="shared" si="15"/>
        <v>8000</v>
      </c>
      <c r="N31" s="38">
        <f t="shared" si="15"/>
        <v>8000</v>
      </c>
      <c r="O31" s="38">
        <f t="shared" si="15"/>
        <v>-2000</v>
      </c>
      <c r="P31" s="38">
        <f t="shared" si="15"/>
        <v>8000</v>
      </c>
      <c r="Q31" s="38">
        <f t="shared" si="15"/>
        <v>8000</v>
      </c>
      <c r="R31" s="38">
        <f t="shared" si="15"/>
        <v>-2000</v>
      </c>
      <c r="S31" s="38">
        <f t="shared" si="15"/>
        <v>8000</v>
      </c>
      <c r="T31" s="38">
        <f t="shared" si="15"/>
        <v>8000</v>
      </c>
      <c r="U31" s="38">
        <f t="shared" si="15"/>
        <v>-2000</v>
      </c>
    </row>
    <row r="32" spans="1:22" x14ac:dyDescent="0.25">
      <c r="A32" s="1"/>
      <c r="B32" s="116" t="s">
        <v>35</v>
      </c>
      <c r="C32" s="117"/>
      <c r="D32" s="117"/>
      <c r="E32" s="117"/>
      <c r="F32" s="118"/>
      <c r="G32" s="52">
        <f>IRR(H31:U31)</f>
        <v>0.38269857873714774</v>
      </c>
      <c r="H32" s="53"/>
      <c r="I32" s="53"/>
      <c r="J32" s="53"/>
      <c r="K32" s="53"/>
      <c r="L32" s="53"/>
      <c r="M32" s="53"/>
      <c r="N32" s="53"/>
      <c r="O32" s="53"/>
      <c r="P32" s="53"/>
    </row>
    <row r="33" spans="1:21" x14ac:dyDescent="0.25">
      <c r="A33" s="1"/>
      <c r="B33" s="116" t="s">
        <v>36</v>
      </c>
      <c r="C33" s="117"/>
      <c r="D33" s="117"/>
      <c r="E33" s="117"/>
      <c r="F33" s="118"/>
      <c r="G33" s="54">
        <f>NPV(0.1,G31:U31)</f>
        <v>-257382.14657190879</v>
      </c>
      <c r="H33" s="53"/>
      <c r="I33" s="53"/>
      <c r="J33" s="53"/>
      <c r="K33" s="53"/>
      <c r="L33" s="53"/>
      <c r="M33" s="53"/>
      <c r="N33" s="53"/>
      <c r="O33" s="53"/>
      <c r="P33" s="53"/>
    </row>
    <row r="34" spans="1:21" x14ac:dyDescent="0.25">
      <c r="A34" s="1"/>
      <c r="B34" s="49"/>
      <c r="C34" s="50"/>
      <c r="D34" s="50"/>
      <c r="E34" s="50"/>
      <c r="F34" s="51"/>
      <c r="G34" s="54"/>
      <c r="H34" s="53"/>
      <c r="I34" s="53"/>
      <c r="J34" s="53"/>
      <c r="K34" s="53"/>
      <c r="L34" s="53"/>
      <c r="M34" s="53"/>
      <c r="N34" s="53"/>
      <c r="O34" s="53"/>
      <c r="P34" s="53"/>
    </row>
    <row r="35" spans="1:21" x14ac:dyDescent="0.25">
      <c r="A35" s="35"/>
      <c r="B35" s="35"/>
      <c r="C35" s="3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</row>
    <row r="36" spans="1:21" x14ac:dyDescent="0.25">
      <c r="A36" s="35"/>
      <c r="B36" s="113" t="s">
        <v>37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</row>
    <row r="37" spans="1:21" x14ac:dyDescent="0.25">
      <c r="A37" s="35"/>
      <c r="B37" s="36"/>
      <c r="C37" s="37" t="s">
        <v>14</v>
      </c>
      <c r="D37" s="38" t="s">
        <v>15</v>
      </c>
      <c r="E37" s="38" t="s">
        <v>16</v>
      </c>
      <c r="F37" s="38" t="s">
        <v>17</v>
      </c>
      <c r="G37" s="114" t="s">
        <v>18</v>
      </c>
      <c r="H37" s="115"/>
      <c r="I37" s="115"/>
      <c r="J37" s="115"/>
      <c r="K37" s="115"/>
      <c r="L37" s="115"/>
      <c r="M37" s="115"/>
      <c r="N37" s="115"/>
      <c r="O37" s="115"/>
      <c r="P37" s="115"/>
    </row>
    <row r="38" spans="1:21" x14ac:dyDescent="0.25">
      <c r="A38" s="35"/>
      <c r="B38" s="37" t="s">
        <v>19</v>
      </c>
      <c r="C38" s="36"/>
      <c r="D38" s="39"/>
      <c r="E38" s="39"/>
      <c r="F38" s="39"/>
      <c r="G38" s="39">
        <v>1</v>
      </c>
      <c r="H38" s="39">
        <f t="shared" ref="H38:P38" si="16">G38+1</f>
        <v>2</v>
      </c>
      <c r="I38" s="39">
        <f t="shared" si="16"/>
        <v>3</v>
      </c>
      <c r="J38" s="39">
        <f t="shared" si="16"/>
        <v>4</v>
      </c>
      <c r="K38" s="39">
        <f t="shared" si="16"/>
        <v>5</v>
      </c>
      <c r="L38" s="39">
        <f t="shared" si="16"/>
        <v>6</v>
      </c>
      <c r="M38" s="39">
        <f t="shared" si="16"/>
        <v>7</v>
      </c>
      <c r="N38" s="39">
        <f t="shared" si="16"/>
        <v>8</v>
      </c>
      <c r="O38" s="39">
        <f t="shared" si="16"/>
        <v>9</v>
      </c>
      <c r="P38" s="39">
        <f t="shared" si="16"/>
        <v>10</v>
      </c>
      <c r="Q38">
        <v>11</v>
      </c>
      <c r="R38">
        <v>12</v>
      </c>
      <c r="S38">
        <v>13</v>
      </c>
      <c r="T38">
        <v>14</v>
      </c>
      <c r="U38">
        <v>15</v>
      </c>
    </row>
    <row r="39" spans="1:21" ht="35.25" customHeight="1" x14ac:dyDescent="0.25">
      <c r="A39" s="35"/>
      <c r="B39" s="60" t="s">
        <v>124</v>
      </c>
      <c r="C39" s="36" t="s">
        <v>116</v>
      </c>
      <c r="D39" s="39">
        <f>D4</f>
        <v>80000</v>
      </c>
      <c r="E39" s="39">
        <f>E4*1.1</f>
        <v>2.75</v>
      </c>
      <c r="F39" s="39">
        <f>F4*0.9</f>
        <v>0</v>
      </c>
      <c r="G39" s="39">
        <f>F39</f>
        <v>0</v>
      </c>
      <c r="H39" s="39">
        <f>J39</f>
        <v>180000</v>
      </c>
      <c r="I39" s="39">
        <f>J39</f>
        <v>180000</v>
      </c>
      <c r="J39" s="39">
        <f>J4*0.9</f>
        <v>180000</v>
      </c>
      <c r="K39" s="39">
        <f t="shared" ref="K39:U40" si="17">J39</f>
        <v>180000</v>
      </c>
      <c r="L39" s="39">
        <f t="shared" si="17"/>
        <v>180000</v>
      </c>
      <c r="M39" s="39">
        <f t="shared" si="17"/>
        <v>180000</v>
      </c>
      <c r="N39" s="39">
        <f t="shared" si="17"/>
        <v>180000</v>
      </c>
      <c r="O39" s="39">
        <f t="shared" si="17"/>
        <v>180000</v>
      </c>
      <c r="P39" s="39">
        <f t="shared" si="17"/>
        <v>180000</v>
      </c>
      <c r="Q39" s="39">
        <f t="shared" si="17"/>
        <v>180000</v>
      </c>
      <c r="R39" s="39">
        <f t="shared" si="17"/>
        <v>180000</v>
      </c>
      <c r="S39" s="39">
        <f t="shared" si="17"/>
        <v>180000</v>
      </c>
      <c r="T39" s="39">
        <f t="shared" si="17"/>
        <v>180000</v>
      </c>
      <c r="U39" s="39">
        <f t="shared" si="17"/>
        <v>180000</v>
      </c>
    </row>
    <row r="40" spans="1:21" x14ac:dyDescent="0.25">
      <c r="A40" s="35"/>
      <c r="B40" s="60" t="s">
        <v>128</v>
      </c>
      <c r="C40" s="36" t="s">
        <v>44</v>
      </c>
      <c r="D40" s="39">
        <v>1</v>
      </c>
      <c r="E40" s="39">
        <f>E5</f>
        <v>0</v>
      </c>
      <c r="F40" s="39">
        <f>F7*0.9</f>
        <v>0</v>
      </c>
      <c r="G40" s="39">
        <f>F40</f>
        <v>0</v>
      </c>
      <c r="H40" s="39">
        <f>J40</f>
        <v>0</v>
      </c>
      <c r="I40" s="39">
        <f>H40</f>
        <v>0</v>
      </c>
      <c r="J40" s="39">
        <f>E40*0.9</f>
        <v>0</v>
      </c>
      <c r="K40" s="39">
        <f t="shared" si="17"/>
        <v>0</v>
      </c>
      <c r="L40" s="39">
        <f t="shared" si="17"/>
        <v>0</v>
      </c>
      <c r="M40" s="39">
        <f t="shared" si="17"/>
        <v>0</v>
      </c>
      <c r="N40" s="39">
        <f t="shared" si="17"/>
        <v>0</v>
      </c>
      <c r="O40" s="39">
        <f t="shared" si="17"/>
        <v>0</v>
      </c>
      <c r="P40" s="39">
        <f t="shared" si="17"/>
        <v>0</v>
      </c>
      <c r="Q40" s="39">
        <f t="shared" si="17"/>
        <v>0</v>
      </c>
      <c r="R40" s="39">
        <f t="shared" si="17"/>
        <v>0</v>
      </c>
      <c r="S40" s="39">
        <f t="shared" si="17"/>
        <v>0</v>
      </c>
      <c r="T40" s="39">
        <f t="shared" si="17"/>
        <v>0</v>
      </c>
      <c r="U40" s="39">
        <f t="shared" si="17"/>
        <v>0</v>
      </c>
    </row>
    <row r="41" spans="1:21" x14ac:dyDescent="0.25">
      <c r="A41" s="35"/>
      <c r="B41" s="61"/>
      <c r="C41" s="36"/>
      <c r="D41" s="39"/>
      <c r="E41" s="39"/>
      <c r="F41" s="39"/>
      <c r="G41" s="39"/>
      <c r="H41" s="39"/>
      <c r="I41" s="39"/>
      <c r="J41" s="39">
        <f>E41*0.9</f>
        <v>0</v>
      </c>
      <c r="K41" s="39">
        <f t="shared" ref="K41:U41" si="18">F41*0.9</f>
        <v>0</v>
      </c>
      <c r="L41" s="39">
        <f t="shared" si="18"/>
        <v>0</v>
      </c>
      <c r="M41" s="39">
        <f t="shared" si="18"/>
        <v>0</v>
      </c>
      <c r="N41" s="39">
        <f t="shared" si="18"/>
        <v>0</v>
      </c>
      <c r="O41" s="39">
        <f t="shared" si="18"/>
        <v>0</v>
      </c>
      <c r="P41" s="39">
        <f t="shared" si="18"/>
        <v>0</v>
      </c>
      <c r="Q41" s="39">
        <f t="shared" si="18"/>
        <v>0</v>
      </c>
      <c r="R41" s="39">
        <f t="shared" si="18"/>
        <v>0</v>
      </c>
      <c r="S41" s="39">
        <f t="shared" si="18"/>
        <v>0</v>
      </c>
      <c r="T41" s="39">
        <f t="shared" si="18"/>
        <v>0</v>
      </c>
      <c r="U41" s="39">
        <f t="shared" si="18"/>
        <v>0</v>
      </c>
    </row>
    <row r="42" spans="1:21" x14ac:dyDescent="0.25">
      <c r="A42" s="35"/>
      <c r="B42" s="37" t="s">
        <v>21</v>
      </c>
      <c r="C42" s="36"/>
      <c r="D42" s="39">
        <f>D8</f>
        <v>0</v>
      </c>
      <c r="E42" s="39">
        <f>E8*0.9</f>
        <v>0</v>
      </c>
      <c r="F42" s="38">
        <f>SUM(F39:F41)</f>
        <v>0</v>
      </c>
      <c r="G42" s="38">
        <f t="shared" ref="G42:U42" si="19">SUM(G39:G41)</f>
        <v>0</v>
      </c>
      <c r="H42" s="38">
        <f t="shared" si="19"/>
        <v>180000</v>
      </c>
      <c r="I42" s="38">
        <f>I8</f>
        <v>200000</v>
      </c>
      <c r="J42" s="38">
        <f t="shared" si="19"/>
        <v>180000</v>
      </c>
      <c r="K42" s="38">
        <f t="shared" si="19"/>
        <v>180000</v>
      </c>
      <c r="L42" s="38">
        <f t="shared" si="19"/>
        <v>180000</v>
      </c>
      <c r="M42" s="38">
        <f t="shared" si="19"/>
        <v>180000</v>
      </c>
      <c r="N42" s="38">
        <f t="shared" si="19"/>
        <v>180000</v>
      </c>
      <c r="O42" s="38">
        <f t="shared" si="19"/>
        <v>180000</v>
      </c>
      <c r="P42" s="38">
        <f t="shared" si="19"/>
        <v>180000</v>
      </c>
      <c r="Q42" s="38">
        <f t="shared" si="19"/>
        <v>180000</v>
      </c>
      <c r="R42" s="38">
        <f t="shared" si="19"/>
        <v>180000</v>
      </c>
      <c r="S42" s="38">
        <f t="shared" si="19"/>
        <v>180000</v>
      </c>
      <c r="T42" s="38">
        <f t="shared" si="19"/>
        <v>180000</v>
      </c>
      <c r="U42" s="38">
        <f t="shared" si="19"/>
        <v>180000</v>
      </c>
    </row>
    <row r="43" spans="1:21" x14ac:dyDescent="0.25">
      <c r="A43" s="35"/>
      <c r="B43" s="36"/>
      <c r="C43" s="36"/>
      <c r="D43" s="39">
        <f>D9</f>
        <v>0</v>
      </c>
      <c r="E43" s="39">
        <f>E9*0.9</f>
        <v>0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21" x14ac:dyDescent="0.25">
      <c r="A44" s="35"/>
      <c r="B44" s="42" t="s">
        <v>110</v>
      </c>
      <c r="C44" s="36"/>
      <c r="D44" s="39">
        <f>D10</f>
        <v>0</v>
      </c>
      <c r="E44" s="39">
        <f>E10*0.9</f>
        <v>0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21" x14ac:dyDescent="0.25">
      <c r="A45" s="35"/>
      <c r="B45" s="37" t="s">
        <v>23</v>
      </c>
      <c r="C45" s="36"/>
      <c r="D45" s="39">
        <f>D11</f>
        <v>0</v>
      </c>
      <c r="E45" s="39">
        <f>E11*0.9</f>
        <v>0</v>
      </c>
      <c r="F45" s="43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21" x14ac:dyDescent="0.25">
      <c r="A46" s="35"/>
      <c r="B46" s="97" t="s">
        <v>130</v>
      </c>
      <c r="C46" s="36" t="s">
        <v>24</v>
      </c>
      <c r="D46" s="39">
        <v>10</v>
      </c>
      <c r="E46" s="39">
        <f>E12*0.9</f>
        <v>27000</v>
      </c>
      <c r="F46" s="39">
        <f>F12*0.9</f>
        <v>270000</v>
      </c>
      <c r="G46" s="39">
        <f>G12</f>
        <v>300000</v>
      </c>
      <c r="H46" s="39"/>
      <c r="I46" s="39">
        <v>0</v>
      </c>
      <c r="J46" s="39">
        <v>0</v>
      </c>
      <c r="K46" s="39"/>
      <c r="L46" s="39"/>
      <c r="M46" s="39"/>
      <c r="N46" s="39"/>
      <c r="O46" s="39"/>
      <c r="P46" s="39">
        <f>K46</f>
        <v>0</v>
      </c>
    </row>
    <row r="47" spans="1:21" x14ac:dyDescent="0.25">
      <c r="A47" s="35"/>
      <c r="B47" s="62"/>
      <c r="C47" s="36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21" x14ac:dyDescent="0.25">
      <c r="A48" s="35"/>
      <c r="B48" s="37" t="s">
        <v>26</v>
      </c>
      <c r="C48" s="36"/>
      <c r="D48" s="39">
        <f>D13</f>
        <v>0</v>
      </c>
      <c r="E48" s="39">
        <f>E13*0.9</f>
        <v>0</v>
      </c>
      <c r="F48" s="38">
        <f t="shared" ref="F48:K48" si="20">SUM(F46:F47)</f>
        <v>270000</v>
      </c>
      <c r="G48" s="38">
        <f t="shared" si="20"/>
        <v>300000</v>
      </c>
      <c r="H48" s="38">
        <f t="shared" si="20"/>
        <v>0</v>
      </c>
      <c r="I48" s="38"/>
      <c r="J48" s="38">
        <f t="shared" si="20"/>
        <v>0</v>
      </c>
      <c r="K48" s="38">
        <f t="shared" si="20"/>
        <v>0</v>
      </c>
      <c r="L48" s="38"/>
      <c r="M48" s="38">
        <f t="shared" ref="M48:T48" si="21">SUM(M46:M47)</f>
        <v>0</v>
      </c>
      <c r="N48" s="38">
        <f t="shared" si="21"/>
        <v>0</v>
      </c>
      <c r="O48" s="38"/>
      <c r="P48" s="38">
        <f t="shared" si="21"/>
        <v>0</v>
      </c>
      <c r="Q48" s="38">
        <f t="shared" si="21"/>
        <v>0</v>
      </c>
      <c r="R48" s="38">
        <v>10000</v>
      </c>
      <c r="S48" s="38">
        <f t="shared" si="21"/>
        <v>0</v>
      </c>
      <c r="T48" s="38">
        <f t="shared" si="21"/>
        <v>0</v>
      </c>
      <c r="U48" s="38">
        <v>10000</v>
      </c>
    </row>
    <row r="49" spans="1:22" x14ac:dyDescent="0.25">
      <c r="A49" s="35"/>
      <c r="B49" s="36"/>
      <c r="C49" s="36"/>
      <c r="D49" s="39">
        <f>D14</f>
        <v>0</v>
      </c>
      <c r="E49" s="39">
        <f>E14*0.9</f>
        <v>0</v>
      </c>
      <c r="F49" s="39">
        <f t="shared" ref="F49:F50" si="22">D49*E49</f>
        <v>0</v>
      </c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22" x14ac:dyDescent="0.25">
      <c r="A50" s="35"/>
      <c r="B50" s="37" t="s">
        <v>193</v>
      </c>
      <c r="C50" s="36"/>
      <c r="D50" s="39">
        <f>D15</f>
        <v>0</v>
      </c>
      <c r="E50" s="39">
        <f>E15*0.9</f>
        <v>0</v>
      </c>
      <c r="F50" s="39">
        <f t="shared" si="22"/>
        <v>0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22" ht="29.25" x14ac:dyDescent="0.25">
      <c r="A51" s="35"/>
      <c r="B51" s="123" t="s">
        <v>214</v>
      </c>
      <c r="C51" s="36" t="s">
        <v>217</v>
      </c>
      <c r="D51" s="39"/>
      <c r="E51" s="39"/>
      <c r="F51" s="39">
        <f>F16*0.9</f>
        <v>27000</v>
      </c>
      <c r="G51" s="39">
        <f t="shared" ref="G51:U56" si="23">F51</f>
        <v>27000</v>
      </c>
      <c r="H51" s="39">
        <f t="shared" si="23"/>
        <v>27000</v>
      </c>
      <c r="I51" s="39">
        <f t="shared" si="23"/>
        <v>27000</v>
      </c>
      <c r="J51" s="39">
        <f t="shared" si="23"/>
        <v>27000</v>
      </c>
      <c r="K51" s="39">
        <f t="shared" si="23"/>
        <v>27000</v>
      </c>
      <c r="L51" s="39">
        <f t="shared" si="23"/>
        <v>27000</v>
      </c>
      <c r="M51" s="39">
        <f t="shared" si="23"/>
        <v>27000</v>
      </c>
      <c r="N51" s="39">
        <f t="shared" si="23"/>
        <v>27000</v>
      </c>
      <c r="O51" s="39">
        <f t="shared" si="23"/>
        <v>27000</v>
      </c>
      <c r="P51" s="39">
        <f t="shared" si="23"/>
        <v>27000</v>
      </c>
      <c r="Q51" s="39">
        <f t="shared" si="23"/>
        <v>27000</v>
      </c>
      <c r="R51" s="39">
        <f t="shared" si="23"/>
        <v>27000</v>
      </c>
      <c r="S51" s="39">
        <f t="shared" si="23"/>
        <v>27000</v>
      </c>
      <c r="T51" s="39">
        <f t="shared" si="23"/>
        <v>27000</v>
      </c>
      <c r="U51" s="39">
        <f t="shared" si="23"/>
        <v>27000</v>
      </c>
    </row>
    <row r="52" spans="1:22" x14ac:dyDescent="0.25">
      <c r="A52" s="35"/>
      <c r="B52" s="99"/>
      <c r="C52" s="36"/>
      <c r="D52" s="39"/>
      <c r="E52" s="39"/>
      <c r="F52" s="39">
        <f>F17*0.9</f>
        <v>0</v>
      </c>
      <c r="G52" s="39">
        <f t="shared" si="23"/>
        <v>0</v>
      </c>
      <c r="H52" s="39">
        <f t="shared" si="23"/>
        <v>0</v>
      </c>
      <c r="I52" s="39">
        <f t="shared" si="23"/>
        <v>0</v>
      </c>
      <c r="J52" s="39">
        <f t="shared" si="23"/>
        <v>0</v>
      </c>
      <c r="K52" s="39">
        <f t="shared" si="23"/>
        <v>0</v>
      </c>
      <c r="L52" s="39">
        <f t="shared" si="23"/>
        <v>0</v>
      </c>
      <c r="M52" s="39">
        <f t="shared" si="23"/>
        <v>0</v>
      </c>
      <c r="N52" s="39">
        <f t="shared" si="23"/>
        <v>0</v>
      </c>
      <c r="O52" s="39">
        <f t="shared" si="23"/>
        <v>0</v>
      </c>
      <c r="P52" s="39">
        <f t="shared" si="23"/>
        <v>0</v>
      </c>
      <c r="Q52" s="39">
        <f t="shared" si="23"/>
        <v>0</v>
      </c>
      <c r="R52" s="39">
        <f t="shared" si="23"/>
        <v>0</v>
      </c>
      <c r="S52" s="39">
        <f t="shared" si="23"/>
        <v>0</v>
      </c>
      <c r="T52" s="39">
        <f t="shared" si="23"/>
        <v>0</v>
      </c>
      <c r="U52" s="39">
        <f t="shared" si="23"/>
        <v>0</v>
      </c>
      <c r="V52" s="45"/>
    </row>
    <row r="53" spans="1:22" x14ac:dyDescent="0.25">
      <c r="A53" s="35"/>
      <c r="B53" s="99"/>
      <c r="C53" s="36"/>
      <c r="D53" s="39"/>
      <c r="E53" s="39"/>
      <c r="F53" s="39">
        <f>F18*0.9</f>
        <v>0</v>
      </c>
      <c r="G53" s="39">
        <f>F53</f>
        <v>0</v>
      </c>
      <c r="H53" s="39">
        <f>F53</f>
        <v>0</v>
      </c>
      <c r="I53" s="39">
        <f t="shared" si="23"/>
        <v>0</v>
      </c>
      <c r="J53" s="39">
        <f>J42*0.6</f>
        <v>108000</v>
      </c>
      <c r="K53" s="39">
        <f t="shared" si="23"/>
        <v>108000</v>
      </c>
      <c r="L53" s="39">
        <f t="shared" si="23"/>
        <v>108000</v>
      </c>
      <c r="M53" s="39">
        <f t="shared" si="23"/>
        <v>108000</v>
      </c>
      <c r="N53" s="39">
        <f t="shared" si="23"/>
        <v>108000</v>
      </c>
      <c r="O53" s="39">
        <f t="shared" si="23"/>
        <v>108000</v>
      </c>
      <c r="P53" s="39">
        <f t="shared" si="23"/>
        <v>108000</v>
      </c>
      <c r="Q53" s="39">
        <f t="shared" si="23"/>
        <v>108000</v>
      </c>
      <c r="R53" s="39">
        <f t="shared" si="23"/>
        <v>108000</v>
      </c>
      <c r="S53" s="39">
        <f t="shared" si="23"/>
        <v>108000</v>
      </c>
      <c r="T53" s="39">
        <f t="shared" si="23"/>
        <v>108000</v>
      </c>
      <c r="U53" s="39">
        <f t="shared" si="23"/>
        <v>108000</v>
      </c>
      <c r="V53" s="45"/>
    </row>
    <row r="54" spans="1:22" x14ac:dyDescent="0.25">
      <c r="A54" s="35"/>
      <c r="B54" s="99"/>
      <c r="C54" s="36"/>
      <c r="D54" s="39"/>
      <c r="E54" s="39"/>
      <c r="F54" s="39">
        <f>F19*0.8</f>
        <v>0</v>
      </c>
      <c r="G54" s="39">
        <f>F54</f>
        <v>0</v>
      </c>
      <c r="H54" s="39">
        <f>F54</f>
        <v>0</v>
      </c>
      <c r="I54" s="39">
        <f>F54</f>
        <v>0</v>
      </c>
      <c r="J54" s="39">
        <f>F54</f>
        <v>0</v>
      </c>
      <c r="K54" s="39">
        <f>J54</f>
        <v>0</v>
      </c>
      <c r="L54" s="39">
        <f t="shared" si="23"/>
        <v>0</v>
      </c>
      <c r="M54" s="39">
        <f t="shared" si="23"/>
        <v>0</v>
      </c>
      <c r="N54" s="39">
        <f t="shared" si="23"/>
        <v>0</v>
      </c>
      <c r="O54" s="39">
        <f t="shared" si="23"/>
        <v>0</v>
      </c>
      <c r="P54" s="39">
        <f t="shared" si="23"/>
        <v>0</v>
      </c>
      <c r="Q54" s="39">
        <f t="shared" si="23"/>
        <v>0</v>
      </c>
      <c r="R54" s="39">
        <f t="shared" si="23"/>
        <v>0</v>
      </c>
      <c r="S54" s="39">
        <f t="shared" si="23"/>
        <v>0</v>
      </c>
      <c r="T54" s="39">
        <f t="shared" si="23"/>
        <v>0</v>
      </c>
      <c r="U54" s="39">
        <f t="shared" si="23"/>
        <v>0</v>
      </c>
    </row>
    <row r="55" spans="1:22" x14ac:dyDescent="0.25">
      <c r="A55" s="35"/>
      <c r="B55" s="99"/>
      <c r="C55" s="36"/>
      <c r="D55" s="39"/>
      <c r="E55" s="39"/>
      <c r="F55" s="39"/>
      <c r="G55" s="39">
        <f>F55</f>
        <v>0</v>
      </c>
      <c r="H55" s="39">
        <f t="shared" ref="H55:H56" si="24">F55</f>
        <v>0</v>
      </c>
      <c r="I55" s="39">
        <f t="shared" ref="I55:I56" si="25">F55</f>
        <v>0</v>
      </c>
      <c r="J55" s="39">
        <f t="shared" ref="J55:J56" si="26">F55</f>
        <v>0</v>
      </c>
      <c r="K55" s="39">
        <f>J55</f>
        <v>0</v>
      </c>
      <c r="L55" s="39">
        <f t="shared" si="23"/>
        <v>0</v>
      </c>
      <c r="M55" s="39">
        <f t="shared" si="23"/>
        <v>0</v>
      </c>
      <c r="N55" s="39">
        <f t="shared" si="23"/>
        <v>0</v>
      </c>
      <c r="O55" s="39">
        <f t="shared" si="23"/>
        <v>0</v>
      </c>
      <c r="P55" s="39">
        <f t="shared" si="23"/>
        <v>0</v>
      </c>
      <c r="Q55" s="39">
        <f t="shared" si="23"/>
        <v>0</v>
      </c>
      <c r="R55" s="39">
        <f t="shared" si="23"/>
        <v>0</v>
      </c>
      <c r="S55" s="39">
        <f t="shared" si="23"/>
        <v>0</v>
      </c>
      <c r="T55" s="39">
        <f t="shared" si="23"/>
        <v>0</v>
      </c>
      <c r="U55" s="39">
        <f t="shared" si="23"/>
        <v>0</v>
      </c>
    </row>
    <row r="56" spans="1:22" x14ac:dyDescent="0.25">
      <c r="A56" s="35"/>
      <c r="B56" s="99"/>
      <c r="C56" s="36"/>
      <c r="D56" s="39"/>
      <c r="E56" s="39"/>
      <c r="F56" s="39">
        <f>F21*0.9</f>
        <v>0</v>
      </c>
      <c r="G56" s="39">
        <f>F56</f>
        <v>0</v>
      </c>
      <c r="H56" s="39">
        <f t="shared" si="24"/>
        <v>0</v>
      </c>
      <c r="I56" s="39">
        <f t="shared" si="25"/>
        <v>0</v>
      </c>
      <c r="J56" s="39">
        <f t="shared" si="26"/>
        <v>0</v>
      </c>
      <c r="K56" s="39">
        <f>J56</f>
        <v>0</v>
      </c>
      <c r="L56" s="39">
        <f t="shared" si="23"/>
        <v>0</v>
      </c>
      <c r="M56" s="39">
        <f t="shared" si="23"/>
        <v>0</v>
      </c>
      <c r="N56" s="39">
        <f t="shared" si="23"/>
        <v>0</v>
      </c>
      <c r="O56" s="39">
        <f t="shared" si="23"/>
        <v>0</v>
      </c>
      <c r="P56" s="39">
        <f t="shared" si="23"/>
        <v>0</v>
      </c>
      <c r="Q56" s="39">
        <f t="shared" si="23"/>
        <v>0</v>
      </c>
      <c r="R56" s="39">
        <f t="shared" si="23"/>
        <v>0</v>
      </c>
      <c r="S56" s="39">
        <f t="shared" si="23"/>
        <v>0</v>
      </c>
      <c r="T56" s="39">
        <f t="shared" si="23"/>
        <v>0</v>
      </c>
      <c r="U56" s="39">
        <f t="shared" si="23"/>
        <v>0</v>
      </c>
    </row>
    <row r="57" spans="1:22" x14ac:dyDescent="0.25">
      <c r="A57" s="35"/>
      <c r="B57" s="37" t="s">
        <v>28</v>
      </c>
      <c r="C57" s="36"/>
      <c r="D57" s="39">
        <f>D23</f>
        <v>0</v>
      </c>
      <c r="E57" s="39"/>
      <c r="F57" s="38">
        <f>SUM(F51:F56)</f>
        <v>27000</v>
      </c>
      <c r="G57" s="38">
        <f t="shared" ref="G57:U57" si="27">SUM(G51:G56)</f>
        <v>27000</v>
      </c>
      <c r="H57" s="38">
        <f t="shared" si="27"/>
        <v>27000</v>
      </c>
      <c r="I57" s="38">
        <f t="shared" si="27"/>
        <v>27000</v>
      </c>
      <c r="J57" s="38">
        <f t="shared" si="27"/>
        <v>135000</v>
      </c>
      <c r="K57" s="38">
        <f t="shared" si="27"/>
        <v>135000</v>
      </c>
      <c r="L57" s="38">
        <f t="shared" si="27"/>
        <v>135000</v>
      </c>
      <c r="M57" s="38">
        <f t="shared" si="27"/>
        <v>135000</v>
      </c>
      <c r="N57" s="38">
        <f t="shared" si="27"/>
        <v>135000</v>
      </c>
      <c r="O57" s="38">
        <f t="shared" si="27"/>
        <v>135000</v>
      </c>
      <c r="P57" s="38">
        <f t="shared" si="27"/>
        <v>135000</v>
      </c>
      <c r="Q57" s="38">
        <f t="shared" si="27"/>
        <v>135000</v>
      </c>
      <c r="R57" s="38">
        <f t="shared" si="27"/>
        <v>135000</v>
      </c>
      <c r="S57" s="38">
        <f t="shared" si="27"/>
        <v>135000</v>
      </c>
      <c r="T57" s="38">
        <f t="shared" si="27"/>
        <v>135000</v>
      </c>
      <c r="U57" s="38">
        <f t="shared" si="27"/>
        <v>135000</v>
      </c>
    </row>
    <row r="58" spans="1:22" x14ac:dyDescent="0.25">
      <c r="A58" s="35"/>
      <c r="B58" s="46"/>
      <c r="C58" s="36"/>
      <c r="D58" s="39">
        <f>D24</f>
        <v>0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22" x14ac:dyDescent="0.25">
      <c r="A59" s="35"/>
      <c r="B59" s="37" t="s">
        <v>29</v>
      </c>
      <c r="C59" s="36"/>
      <c r="D59" s="39">
        <f>D25</f>
        <v>0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22" x14ac:dyDescent="0.25">
      <c r="A60" s="35"/>
      <c r="B60" s="36" t="s">
        <v>30</v>
      </c>
      <c r="C60" s="36" t="s">
        <v>216</v>
      </c>
      <c r="D60" s="39">
        <f>D26</f>
        <v>1</v>
      </c>
      <c r="E60" s="39"/>
      <c r="F60" s="39">
        <f>D60*E60</f>
        <v>0</v>
      </c>
      <c r="G60" s="39">
        <f>F26*0.9</f>
        <v>1800</v>
      </c>
      <c r="H60" s="39">
        <f t="shared" ref="H60:U60" si="28">G26*0.9</f>
        <v>0</v>
      </c>
      <c r="I60" s="39">
        <f t="shared" si="28"/>
        <v>1800</v>
      </c>
      <c r="J60" s="39">
        <f t="shared" si="28"/>
        <v>1800</v>
      </c>
      <c r="K60" s="39">
        <f t="shared" si="28"/>
        <v>1800</v>
      </c>
      <c r="L60" s="39">
        <f t="shared" si="28"/>
        <v>1800</v>
      </c>
      <c r="M60" s="39">
        <f t="shared" si="28"/>
        <v>1800</v>
      </c>
      <c r="N60" s="39">
        <f t="shared" si="28"/>
        <v>1800</v>
      </c>
      <c r="O60" s="39">
        <f t="shared" si="28"/>
        <v>1800</v>
      </c>
      <c r="P60" s="39">
        <f t="shared" si="28"/>
        <v>1800</v>
      </c>
      <c r="Q60" s="39">
        <f t="shared" si="28"/>
        <v>1800</v>
      </c>
      <c r="R60" s="39">
        <f t="shared" si="28"/>
        <v>1800</v>
      </c>
      <c r="S60" s="39">
        <f t="shared" si="28"/>
        <v>1800</v>
      </c>
      <c r="T60" s="39">
        <f t="shared" si="28"/>
        <v>1800</v>
      </c>
      <c r="U60" s="39">
        <f t="shared" si="28"/>
        <v>1800</v>
      </c>
      <c r="V60" s="47">
        <f>SUM(H60:U60)</f>
        <v>23400</v>
      </c>
    </row>
    <row r="61" spans="1:22" x14ac:dyDescent="0.25">
      <c r="A61" s="35"/>
      <c r="B61" s="37" t="s">
        <v>31</v>
      </c>
      <c r="C61" s="36"/>
      <c r="D61" s="39"/>
      <c r="E61" s="39"/>
      <c r="F61" s="38">
        <f t="shared" ref="F61:U61" si="29">SUM(F60:F60)</f>
        <v>0</v>
      </c>
      <c r="G61" s="38">
        <f t="shared" si="29"/>
        <v>1800</v>
      </c>
      <c r="H61" s="38">
        <f t="shared" si="29"/>
        <v>0</v>
      </c>
      <c r="I61" s="38">
        <f t="shared" si="29"/>
        <v>1800</v>
      </c>
      <c r="J61" s="38">
        <f t="shared" si="29"/>
        <v>1800</v>
      </c>
      <c r="K61" s="38">
        <f t="shared" si="29"/>
        <v>1800</v>
      </c>
      <c r="L61" s="38">
        <f t="shared" si="29"/>
        <v>1800</v>
      </c>
      <c r="M61" s="38">
        <f t="shared" si="29"/>
        <v>1800</v>
      </c>
      <c r="N61" s="38">
        <f t="shared" si="29"/>
        <v>1800</v>
      </c>
      <c r="O61" s="38">
        <f t="shared" si="29"/>
        <v>1800</v>
      </c>
      <c r="P61" s="38">
        <f t="shared" si="29"/>
        <v>1800</v>
      </c>
      <c r="Q61" s="38">
        <f t="shared" si="29"/>
        <v>1800</v>
      </c>
      <c r="R61" s="38">
        <f t="shared" si="29"/>
        <v>1800</v>
      </c>
      <c r="S61" s="38">
        <f t="shared" si="29"/>
        <v>1800</v>
      </c>
      <c r="T61" s="38">
        <f t="shared" si="29"/>
        <v>1800</v>
      </c>
      <c r="U61" s="38">
        <f t="shared" si="29"/>
        <v>1800</v>
      </c>
    </row>
    <row r="62" spans="1:22" x14ac:dyDescent="0.25">
      <c r="A62" s="35"/>
      <c r="B62" s="37" t="s">
        <v>32</v>
      </c>
      <c r="C62" s="36"/>
      <c r="D62" s="39"/>
      <c r="E62" s="39"/>
      <c r="F62" s="38">
        <f t="shared" ref="F62:U62" si="30">F48+F57+F61</f>
        <v>297000</v>
      </c>
      <c r="G62" s="38">
        <f t="shared" si="30"/>
        <v>328800</v>
      </c>
      <c r="H62" s="38">
        <f t="shared" si="30"/>
        <v>27000</v>
      </c>
      <c r="I62" s="38">
        <f t="shared" si="30"/>
        <v>28800</v>
      </c>
      <c r="J62" s="38">
        <f t="shared" si="30"/>
        <v>136800</v>
      </c>
      <c r="K62" s="38">
        <f t="shared" si="30"/>
        <v>136800</v>
      </c>
      <c r="L62" s="38">
        <f t="shared" si="30"/>
        <v>136800</v>
      </c>
      <c r="M62" s="38">
        <f t="shared" si="30"/>
        <v>136800</v>
      </c>
      <c r="N62" s="38">
        <f t="shared" si="30"/>
        <v>136800</v>
      </c>
      <c r="O62" s="38">
        <f t="shared" si="30"/>
        <v>136800</v>
      </c>
      <c r="P62" s="38">
        <f t="shared" si="30"/>
        <v>136800</v>
      </c>
      <c r="Q62" s="38">
        <f t="shared" si="30"/>
        <v>136800</v>
      </c>
      <c r="R62" s="38">
        <f t="shared" si="30"/>
        <v>146800</v>
      </c>
      <c r="S62" s="38">
        <f t="shared" si="30"/>
        <v>136800</v>
      </c>
      <c r="T62" s="38">
        <f t="shared" si="30"/>
        <v>136800</v>
      </c>
      <c r="U62" s="38">
        <f t="shared" si="30"/>
        <v>146800</v>
      </c>
    </row>
    <row r="63" spans="1:22" x14ac:dyDescent="0.25">
      <c r="A63" s="35"/>
      <c r="B63" s="37"/>
      <c r="C63" s="36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22" x14ac:dyDescent="0.25">
      <c r="A64" s="35"/>
      <c r="B64" s="37" t="s">
        <v>33</v>
      </c>
      <c r="C64" s="36" t="s">
        <v>216</v>
      </c>
      <c r="D64" s="39"/>
      <c r="E64" s="39"/>
      <c r="F64" s="39"/>
      <c r="G64" s="38">
        <f t="shared" ref="G64:U64" si="31">G42-G48-G57</f>
        <v>-327000</v>
      </c>
      <c r="H64" s="38">
        <f t="shared" si="31"/>
        <v>153000</v>
      </c>
      <c r="I64" s="38">
        <f t="shared" si="31"/>
        <v>173000</v>
      </c>
      <c r="J64" s="38">
        <f t="shared" si="31"/>
        <v>45000</v>
      </c>
      <c r="K64" s="38">
        <f t="shared" si="31"/>
        <v>45000</v>
      </c>
      <c r="L64" s="38">
        <f t="shared" si="31"/>
        <v>45000</v>
      </c>
      <c r="M64" s="38">
        <f t="shared" si="31"/>
        <v>45000</v>
      </c>
      <c r="N64" s="38">
        <f t="shared" si="31"/>
        <v>45000</v>
      </c>
      <c r="O64" s="38">
        <f t="shared" si="31"/>
        <v>45000</v>
      </c>
      <c r="P64" s="38">
        <f t="shared" si="31"/>
        <v>45000</v>
      </c>
      <c r="Q64" s="38">
        <f t="shared" si="31"/>
        <v>45000</v>
      </c>
      <c r="R64" s="38">
        <f t="shared" si="31"/>
        <v>35000</v>
      </c>
      <c r="S64" s="38">
        <f t="shared" si="31"/>
        <v>45000</v>
      </c>
      <c r="T64" s="38">
        <f t="shared" si="31"/>
        <v>45000</v>
      </c>
      <c r="U64" s="38">
        <f t="shared" si="31"/>
        <v>35000</v>
      </c>
    </row>
    <row r="65" spans="1:21" x14ac:dyDescent="0.25">
      <c r="A65" s="35"/>
      <c r="B65" s="37" t="s">
        <v>34</v>
      </c>
      <c r="C65" s="36" t="s">
        <v>216</v>
      </c>
      <c r="D65" s="39"/>
      <c r="E65" s="39"/>
      <c r="F65" s="39"/>
      <c r="G65" s="38">
        <f>G64-G61</f>
        <v>-328800</v>
      </c>
      <c r="H65" s="38">
        <f>H64-H61</f>
        <v>153000</v>
      </c>
      <c r="I65" s="38">
        <f>I64-I61</f>
        <v>171200</v>
      </c>
      <c r="J65" s="38">
        <f>J64-J61</f>
        <v>43200</v>
      </c>
      <c r="K65" s="38">
        <f>K64-K61</f>
        <v>43200</v>
      </c>
      <c r="L65" s="38">
        <f t="shared" ref="L65:U65" si="32">L64-L61</f>
        <v>43200</v>
      </c>
      <c r="M65" s="38">
        <f t="shared" si="32"/>
        <v>43200</v>
      </c>
      <c r="N65" s="38">
        <f t="shared" si="32"/>
        <v>43200</v>
      </c>
      <c r="O65" s="38">
        <f t="shared" si="32"/>
        <v>43200</v>
      </c>
      <c r="P65" s="38">
        <f t="shared" si="32"/>
        <v>43200</v>
      </c>
      <c r="Q65" s="38">
        <f t="shared" si="32"/>
        <v>43200</v>
      </c>
      <c r="R65" s="38">
        <f t="shared" si="32"/>
        <v>33200</v>
      </c>
      <c r="S65" s="38">
        <f t="shared" si="32"/>
        <v>43200</v>
      </c>
      <c r="T65" s="38">
        <f t="shared" si="32"/>
        <v>43200</v>
      </c>
      <c r="U65" s="38">
        <f t="shared" si="32"/>
        <v>33200</v>
      </c>
    </row>
    <row r="66" spans="1:21" x14ac:dyDescent="0.25">
      <c r="A66" s="1"/>
      <c r="B66" s="116" t="s">
        <v>38</v>
      </c>
      <c r="C66" s="117"/>
      <c r="D66" s="117"/>
      <c r="E66" s="117"/>
      <c r="F66" s="118"/>
      <c r="G66" s="52">
        <f>IRR(G65:U65)</f>
        <v>0.25646279756097212</v>
      </c>
      <c r="H66" s="53"/>
      <c r="I66" s="53"/>
      <c r="J66" s="53"/>
      <c r="K66" s="53"/>
      <c r="L66" s="53"/>
      <c r="M66" s="53"/>
      <c r="N66" s="53"/>
      <c r="O66" s="53"/>
      <c r="P66" s="53"/>
    </row>
    <row r="67" spans="1:21" x14ac:dyDescent="0.25">
      <c r="A67" s="1"/>
      <c r="B67" s="116" t="s">
        <v>39</v>
      </c>
      <c r="C67" s="117"/>
      <c r="D67" s="117"/>
      <c r="E67" s="117"/>
      <c r="F67" s="118"/>
      <c r="G67" s="54">
        <f>NPV(0.1,G65:U65)</f>
        <v>171732.68398820225</v>
      </c>
      <c r="H67" s="53"/>
      <c r="I67" s="53"/>
      <c r="J67" s="53"/>
      <c r="K67" s="53"/>
      <c r="L67" s="53"/>
      <c r="M67" s="53"/>
      <c r="N67" s="53"/>
      <c r="O67" s="53"/>
      <c r="P67" s="53"/>
    </row>
  </sheetData>
  <mergeCells count="8">
    <mergeCell ref="B66:F66"/>
    <mergeCell ref="B67:F67"/>
    <mergeCell ref="B1:P1"/>
    <mergeCell ref="G2:P2"/>
    <mergeCell ref="B32:F32"/>
    <mergeCell ref="B33:F33"/>
    <mergeCell ref="B36:P36"/>
    <mergeCell ref="G37:P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0983-1184-4488-8E83-67F2226922C9}">
  <dimension ref="A1:W50"/>
  <sheetViews>
    <sheetView topLeftCell="A18" workbookViewId="0">
      <selection activeCell="G47" sqref="G47"/>
    </sheetView>
  </sheetViews>
  <sheetFormatPr defaultRowHeight="15" x14ac:dyDescent="0.25"/>
  <cols>
    <col min="2" max="2" width="23" customWidth="1"/>
    <col min="3" max="3" width="18.28515625" bestFit="1" customWidth="1"/>
    <col min="4" max="4" width="16.85546875" bestFit="1" customWidth="1"/>
    <col min="5" max="5" width="19.7109375" customWidth="1"/>
    <col min="6" max="6" width="15.140625" customWidth="1"/>
    <col min="7" max="7" width="14.42578125" customWidth="1"/>
    <col min="8" max="8" width="15.28515625" customWidth="1"/>
    <col min="9" max="9" width="13.5703125" customWidth="1"/>
    <col min="10" max="10" width="14.85546875" customWidth="1"/>
    <col min="11" max="11" width="15.140625" customWidth="1"/>
    <col min="12" max="13" width="13" customWidth="1"/>
    <col min="14" max="14" width="12.7109375" customWidth="1"/>
    <col min="15" max="15" width="13.5703125" customWidth="1"/>
    <col min="16" max="16" width="12.42578125" customWidth="1"/>
    <col min="17" max="17" width="12.140625" customWidth="1"/>
    <col min="22" max="22" width="12.7109375" bestFit="1" customWidth="1"/>
  </cols>
  <sheetData>
    <row r="1" spans="1:23" ht="15.75" thickBot="1" x14ac:dyDescent="0.3">
      <c r="A1" t="s">
        <v>73</v>
      </c>
    </row>
    <row r="2" spans="1:23" ht="15.75" thickBot="1" x14ac:dyDescent="0.3">
      <c r="A2" t="s">
        <v>74</v>
      </c>
      <c r="B2" s="64" t="s">
        <v>55</v>
      </c>
      <c r="C2" s="65" t="s">
        <v>56</v>
      </c>
      <c r="D2" s="65" t="s">
        <v>57</v>
      </c>
      <c r="E2" s="65" t="s">
        <v>58</v>
      </c>
      <c r="F2" s="65" t="s">
        <v>59</v>
      </c>
      <c r="G2" s="66" t="s">
        <v>60</v>
      </c>
      <c r="H2" s="65" t="s">
        <v>61</v>
      </c>
      <c r="I2" s="65" t="s">
        <v>62</v>
      </c>
      <c r="J2" s="65" t="s">
        <v>63</v>
      </c>
      <c r="K2" s="66" t="s">
        <v>64</v>
      </c>
      <c r="L2" s="65" t="s">
        <v>65</v>
      </c>
      <c r="M2" s="65" t="s">
        <v>66</v>
      </c>
      <c r="N2" s="65" t="s">
        <v>67</v>
      </c>
      <c r="O2" s="66" t="s">
        <v>68</v>
      </c>
      <c r="P2" s="65" t="s">
        <v>69</v>
      </c>
      <c r="Q2" s="66" t="s">
        <v>70</v>
      </c>
    </row>
    <row r="3" spans="1:23" ht="30" x14ac:dyDescent="0.25">
      <c r="B3" s="81" t="s">
        <v>132</v>
      </c>
      <c r="C3" s="67">
        <f>'Roof and Ceilling insulation'!G24</f>
        <v>-919166.66666666663</v>
      </c>
      <c r="D3" s="67">
        <f>'Roof and Ceilling insulation'!H24</f>
        <v>789166.66666666663</v>
      </c>
      <c r="E3" s="67">
        <f>'Roof and Ceilling insulation'!I24</f>
        <v>-160833.33333333334</v>
      </c>
      <c r="F3" s="67">
        <f>'Roof and Ceilling insulation'!J24</f>
        <v>160833.33333333334</v>
      </c>
      <c r="G3" s="67">
        <f>'Roof and Ceilling insulation'!K24</f>
        <v>160833.33333333334</v>
      </c>
      <c r="H3" s="67">
        <f>'Roof and Ceilling insulation'!L24</f>
        <v>160833.33333333334</v>
      </c>
      <c r="I3" s="67">
        <f>'Roof and Ceilling insulation'!M24</f>
        <v>160833.33333333334</v>
      </c>
      <c r="J3" s="67">
        <f>'Roof and Ceilling insulation'!N24</f>
        <v>160833.33333333334</v>
      </c>
      <c r="K3" s="67">
        <f>'Roof and Ceilling insulation'!O24</f>
        <v>160833.33333333334</v>
      </c>
      <c r="L3" s="67">
        <f>'Roof and Ceilling insulation'!P24</f>
        <v>160833.33333333334</v>
      </c>
      <c r="M3" s="67">
        <f>'Roof and Ceilling insulation'!Q24</f>
        <v>160833.33333333334</v>
      </c>
      <c r="N3" s="67">
        <f>'Roof and Ceilling insulation'!R24</f>
        <v>160833.33333333334</v>
      </c>
      <c r="O3" s="67">
        <f>'Roof and Ceilling insulation'!S24</f>
        <v>160833.33333333334</v>
      </c>
      <c r="P3" s="67">
        <f>'Roof and Ceilling insulation'!T24</f>
        <v>-739166.66666666663</v>
      </c>
      <c r="Q3" s="67">
        <f>'Roof and Ceilling insulation'!U24</f>
        <v>160833.33333333334</v>
      </c>
    </row>
    <row r="4" spans="1:23" x14ac:dyDescent="0.25">
      <c r="B4" s="81" t="s">
        <v>133</v>
      </c>
      <c r="C4" s="47">
        <f>'Wall insulation'!G31</f>
        <v>-1208333.3333333333</v>
      </c>
      <c r="D4" s="47">
        <f>'Wall insulation'!H31</f>
        <v>310666.66666666669</v>
      </c>
      <c r="E4" s="47">
        <f>'Wall insulation'!I31</f>
        <v>310666.66666666669</v>
      </c>
      <c r="F4" s="47">
        <f>'Wall insulation'!J31</f>
        <v>310666.66666666669</v>
      </c>
      <c r="G4" s="47">
        <f>'Wall insulation'!K31</f>
        <v>310666.66666666669</v>
      </c>
      <c r="H4" s="47">
        <f>'Wall insulation'!L31</f>
        <v>310666.66666666669</v>
      </c>
      <c r="I4" s="47">
        <f>'Wall insulation'!M31</f>
        <v>310666.66666666669</v>
      </c>
      <c r="J4" s="47">
        <f>'Wall insulation'!N31</f>
        <v>310666.66666666669</v>
      </c>
      <c r="K4" s="47">
        <f>'Wall insulation'!O31</f>
        <v>310666.66666666669</v>
      </c>
      <c r="L4" s="47">
        <f>'Wall insulation'!P31</f>
        <v>310666.66666666669</v>
      </c>
      <c r="M4" s="47">
        <f>'Wall insulation'!Q31</f>
        <v>310666.66666666669</v>
      </c>
      <c r="N4" s="47">
        <f>'Wall insulation'!R31</f>
        <v>310666.66666666669</v>
      </c>
      <c r="O4" s="47">
        <f>'Wall insulation'!S31</f>
        <v>310666.66666666669</v>
      </c>
      <c r="P4" s="47">
        <f>'Wall insulation'!T31</f>
        <v>310666.66666666669</v>
      </c>
      <c r="Q4" s="47">
        <f>'Wall insulation'!U31</f>
        <v>310666.66666666669</v>
      </c>
    </row>
    <row r="5" spans="1:23" ht="30" x14ac:dyDescent="0.25">
      <c r="B5" s="81" t="s">
        <v>134</v>
      </c>
      <c r="C5">
        <f>'Efficient Windows (Double Tripl'!G28</f>
        <v>265600</v>
      </c>
      <c r="D5">
        <f>'Efficient Windows (Double Tripl'!H28</f>
        <v>265600</v>
      </c>
      <c r="E5">
        <f>'Efficient Windows (Double Tripl'!I28</f>
        <v>265600</v>
      </c>
      <c r="F5">
        <f>'Efficient Windows (Double Tripl'!J28</f>
        <v>265600</v>
      </c>
      <c r="G5">
        <f>'Efficient Windows (Double Tripl'!K28</f>
        <v>-544400</v>
      </c>
      <c r="H5">
        <f>'Efficient Windows (Double Tripl'!L28</f>
        <v>-484400</v>
      </c>
      <c r="I5">
        <f>'Efficient Windows (Double Tripl'!M28</f>
        <v>-412400</v>
      </c>
      <c r="J5">
        <f>'Efficient Windows (Double Tripl'!N28</f>
        <v>-326000</v>
      </c>
      <c r="K5">
        <f>'Efficient Windows (Double Tripl'!O28</f>
        <v>-222320</v>
      </c>
      <c r="L5">
        <f>'Efficient Windows (Double Tripl'!P28</f>
        <v>-97904</v>
      </c>
      <c r="M5">
        <f>'Efficient Windows (Double Tripl'!Q28</f>
        <v>51395.199999999953</v>
      </c>
      <c r="N5">
        <f>'Efficient Windows (Double Tripl'!R28</f>
        <v>230554.23999999999</v>
      </c>
      <c r="O5">
        <f>'Efficient Windows (Double Tripl'!S28</f>
        <v>445545.08799999999</v>
      </c>
      <c r="P5">
        <f>'Efficient Windows (Double Tripl'!T28</f>
        <v>703534.10559999989</v>
      </c>
      <c r="Q5">
        <f>'Efficient Windows (Double Tripl'!U28</f>
        <v>1443120.9267199999</v>
      </c>
    </row>
    <row r="6" spans="1:23" x14ac:dyDescent="0.25">
      <c r="B6" s="81" t="s">
        <v>135</v>
      </c>
      <c r="C6">
        <f>'Efficient heating systems'!G30</f>
        <v>-289533.33333333331</v>
      </c>
      <c r="D6">
        <f>'Efficient heating systems'!H30</f>
        <v>113466.66666666667</v>
      </c>
      <c r="E6" s="47">
        <f>'Efficient heating systems'!I30</f>
        <v>113466.66666666667</v>
      </c>
      <c r="F6" s="47">
        <f>'Efficient heating systems'!J30</f>
        <v>113466.66666666667</v>
      </c>
      <c r="G6" s="47">
        <f>'Efficient heating systems'!K30</f>
        <v>113466.66666666667</v>
      </c>
      <c r="H6" s="47">
        <f>'Efficient heating systems'!L30</f>
        <v>113466.66666666667</v>
      </c>
      <c r="I6" s="47">
        <f>'Efficient heating systems'!M30</f>
        <v>113466.66666666667</v>
      </c>
      <c r="J6" s="47">
        <f>'Efficient heating systems'!N30</f>
        <v>113466.66666666667</v>
      </c>
      <c r="K6" s="47">
        <f>'Efficient heating systems'!O30</f>
        <v>113466.66666666667</v>
      </c>
      <c r="L6" s="47">
        <f>'Efficient heating systems'!P30</f>
        <v>113466.66666666667</v>
      </c>
      <c r="M6" s="47">
        <f>'Efficient heating systems'!Q30</f>
        <v>113466.66666666667</v>
      </c>
      <c r="N6" s="47">
        <f>'Efficient heating systems'!R30</f>
        <v>113466.66666666667</v>
      </c>
      <c r="O6" s="47">
        <f>'Efficient heating systems'!S30</f>
        <v>113466.66666666667</v>
      </c>
      <c r="P6" s="47">
        <f>'Efficient heating systems'!T30</f>
        <v>113466.66666666667</v>
      </c>
      <c r="Q6" s="47">
        <f>'Efficient heating systems'!U30</f>
        <v>113466.66666666667</v>
      </c>
      <c r="R6" s="47">
        <f>'Efficient heating systems'!V30</f>
        <v>0</v>
      </c>
      <c r="S6" s="47">
        <f>'Efficient heating systems'!W30</f>
        <v>0</v>
      </c>
    </row>
    <row r="7" spans="1:23" ht="30" x14ac:dyDescent="0.25">
      <c r="B7" s="81" t="s">
        <v>136</v>
      </c>
      <c r="C7">
        <f>'Air Sealing   Draft Proofing'!G31</f>
        <v>-330000</v>
      </c>
      <c r="D7">
        <f>'Air Sealing   Draft Proofing'!H31</f>
        <v>-132000</v>
      </c>
      <c r="E7">
        <f>'Air Sealing   Draft Proofing'!I31</f>
        <v>168000</v>
      </c>
      <c r="F7">
        <f>'Air Sealing   Draft Proofing'!J31</f>
        <v>8000</v>
      </c>
      <c r="G7">
        <f>'Air Sealing   Draft Proofing'!K31</f>
        <v>8000</v>
      </c>
      <c r="H7">
        <f>'Air Sealing   Draft Proofing'!L31</f>
        <v>-2000</v>
      </c>
      <c r="I7">
        <f>'Air Sealing   Draft Proofing'!M31</f>
        <v>8000</v>
      </c>
      <c r="J7">
        <f>'Air Sealing   Draft Proofing'!N31</f>
        <v>8000</v>
      </c>
      <c r="K7">
        <f>'Air Sealing   Draft Proofing'!O31</f>
        <v>-2000</v>
      </c>
      <c r="L7">
        <f>'Air Sealing   Draft Proofing'!P31</f>
        <v>8000</v>
      </c>
      <c r="M7">
        <f>'Air Sealing   Draft Proofing'!Q31</f>
        <v>8000</v>
      </c>
      <c r="N7">
        <f>'Air Sealing   Draft Proofing'!R31</f>
        <v>-2000</v>
      </c>
      <c r="O7">
        <f>'Air Sealing   Draft Proofing'!S31</f>
        <v>8000</v>
      </c>
      <c r="P7">
        <f>'Air Sealing   Draft Proofing'!T31</f>
        <v>8000</v>
      </c>
      <c r="Q7">
        <f>'Air Sealing   Draft Proofing'!U31</f>
        <v>-2000</v>
      </c>
    </row>
    <row r="8" spans="1:23" x14ac:dyDescent="0.25">
      <c r="B8" t="s">
        <v>71</v>
      </c>
      <c r="C8" s="67">
        <f t="shared" ref="C8:Q8" si="0">SUM(C3:C7)</f>
        <v>-2481433.3333333335</v>
      </c>
      <c r="D8" s="67">
        <f t="shared" si="0"/>
        <v>1346900</v>
      </c>
      <c r="E8" s="67">
        <f t="shared" si="0"/>
        <v>696900</v>
      </c>
      <c r="F8" s="67">
        <f t="shared" si="0"/>
        <v>858566.66666666663</v>
      </c>
      <c r="G8" s="67">
        <f t="shared" si="0"/>
        <v>48566.666666666672</v>
      </c>
      <c r="H8" s="67">
        <f t="shared" si="0"/>
        <v>98566.666666666672</v>
      </c>
      <c r="I8" s="67">
        <f t="shared" si="0"/>
        <v>180566.66666666669</v>
      </c>
      <c r="J8" s="67">
        <f t="shared" si="0"/>
        <v>266966.66666666669</v>
      </c>
      <c r="K8" s="67">
        <f t="shared" si="0"/>
        <v>360646.66666666669</v>
      </c>
      <c r="L8" s="67">
        <f t="shared" si="0"/>
        <v>495062.66666666669</v>
      </c>
      <c r="M8" s="67">
        <f t="shared" si="0"/>
        <v>644361.86666666658</v>
      </c>
      <c r="N8" s="67">
        <f t="shared" si="0"/>
        <v>813520.90666666662</v>
      </c>
      <c r="O8" s="67">
        <f t="shared" si="0"/>
        <v>1038511.7546666666</v>
      </c>
      <c r="P8" s="67">
        <f t="shared" si="0"/>
        <v>396500.77226666664</v>
      </c>
      <c r="Q8" s="67">
        <f t="shared" si="0"/>
        <v>2026087.5933866666</v>
      </c>
    </row>
    <row r="9" spans="1:23" x14ac:dyDescent="0.25">
      <c r="B9" t="s">
        <v>75</v>
      </c>
      <c r="C9">
        <f>Summary!B11</f>
        <v>7595000</v>
      </c>
      <c r="T9" t="s">
        <v>75</v>
      </c>
      <c r="V9">
        <v>11</v>
      </c>
      <c r="W9" t="s">
        <v>76</v>
      </c>
    </row>
    <row r="10" spans="1:23" x14ac:dyDescent="0.25">
      <c r="B10" t="s">
        <v>77</v>
      </c>
      <c r="C10" s="13">
        <f>V11</f>
        <v>957000000</v>
      </c>
      <c r="U10" t="s">
        <v>72</v>
      </c>
      <c r="V10">
        <f>11000000</f>
        <v>11000000</v>
      </c>
    </row>
    <row r="11" spans="1:23" x14ac:dyDescent="0.25">
      <c r="B11" t="s">
        <v>79</v>
      </c>
      <c r="C11">
        <f>C8*($C$10/$C$9)</f>
        <v>-312670401.57998687</v>
      </c>
      <c r="D11" s="14">
        <f>D8*($C$10/$C$9)</f>
        <v>169714720.21066493</v>
      </c>
      <c r="E11" s="18">
        <f>E8*($C$10/$C$9)</f>
        <v>87812152.732060567</v>
      </c>
      <c r="F11" s="18">
        <f>-(F8*($C$10/$C$9))</f>
        <v>-108182791.31007242</v>
      </c>
      <c r="G11">
        <f t="shared" ref="G11:Q11" si="1">G8*($C$10/$C$9)</f>
        <v>6119591.8367346944</v>
      </c>
      <c r="H11">
        <f t="shared" si="1"/>
        <v>12419789.335088875</v>
      </c>
      <c r="I11">
        <f t="shared" si="1"/>
        <v>22752113.232389733</v>
      </c>
      <c r="J11">
        <f t="shared" si="1"/>
        <v>33638854.509545758</v>
      </c>
      <c r="K11">
        <f t="shared" si="1"/>
        <v>45442904.542462148</v>
      </c>
      <c r="L11">
        <f t="shared" si="1"/>
        <v>62379851.481237665</v>
      </c>
      <c r="M11">
        <f t="shared" si="1"/>
        <v>81192140.408163264</v>
      </c>
      <c r="N11">
        <f t="shared" si="1"/>
        <v>102506847.62080316</v>
      </c>
      <c r="O11">
        <f t="shared" si="1"/>
        <v>130856583.17524688</v>
      </c>
      <c r="P11">
        <f t="shared" si="1"/>
        <v>49960663.470599078</v>
      </c>
      <c r="Q11">
        <f t="shared" si="1"/>
        <v>255295039.7460224</v>
      </c>
      <c r="U11" t="s">
        <v>201</v>
      </c>
      <c r="V11" s="70">
        <v>957000000</v>
      </c>
    </row>
    <row r="12" spans="1:23" x14ac:dyDescent="0.25">
      <c r="B12" t="s">
        <v>35</v>
      </c>
      <c r="C12" s="16">
        <f>IRR(C11:Q11)</f>
        <v>0.15352651748078761</v>
      </c>
    </row>
    <row r="13" spans="1:23" x14ac:dyDescent="0.25">
      <c r="B13" t="s">
        <v>36</v>
      </c>
      <c r="C13" s="13">
        <f>NPV(0.1,C11:Q11)</f>
        <v>102895034.76725063</v>
      </c>
    </row>
    <row r="14" spans="1:23" x14ac:dyDescent="0.25">
      <c r="D14" s="13"/>
      <c r="G14" s="18"/>
      <c r="H14" s="18"/>
      <c r="I14" s="18"/>
    </row>
    <row r="15" spans="1:23" x14ac:dyDescent="0.25">
      <c r="C15" s="28"/>
    </row>
    <row r="16" spans="1:23" x14ac:dyDescent="0.25">
      <c r="C16" s="31">
        <f>V11</f>
        <v>957000000</v>
      </c>
    </row>
    <row r="18" spans="1:17" x14ac:dyDescent="0.25">
      <c r="C18" s="14"/>
    </row>
    <row r="19" spans="1:17" x14ac:dyDescent="0.25">
      <c r="C19" s="16"/>
    </row>
    <row r="20" spans="1:17" x14ac:dyDescent="0.25">
      <c r="C20" s="13">
        <f>NPV(0.1,C18:Q18)</f>
        <v>0</v>
      </c>
    </row>
    <row r="23" spans="1:17" ht="15.75" thickBot="1" x14ac:dyDescent="0.3">
      <c r="A23" t="s">
        <v>78</v>
      </c>
    </row>
    <row r="24" spans="1:17" ht="15.75" thickBot="1" x14ac:dyDescent="0.3">
      <c r="A24" t="s">
        <v>74</v>
      </c>
      <c r="B24" s="64" t="s">
        <v>55</v>
      </c>
      <c r="C24" s="65" t="s">
        <v>56</v>
      </c>
      <c r="D24" s="65" t="s">
        <v>57</v>
      </c>
      <c r="E24" s="65" t="s">
        <v>58</v>
      </c>
      <c r="F24" s="65" t="s">
        <v>59</v>
      </c>
      <c r="G24" s="66" t="s">
        <v>60</v>
      </c>
      <c r="H24" s="65" t="s">
        <v>61</v>
      </c>
      <c r="I24" s="65" t="s">
        <v>62</v>
      </c>
      <c r="J24" s="65" t="s">
        <v>63</v>
      </c>
      <c r="K24" s="66" t="s">
        <v>64</v>
      </c>
      <c r="L24" s="65" t="s">
        <v>65</v>
      </c>
      <c r="M24" s="65" t="s">
        <v>66</v>
      </c>
      <c r="N24" s="65" t="s">
        <v>67</v>
      </c>
      <c r="O24" s="66" t="s">
        <v>68</v>
      </c>
      <c r="P24" s="65" t="s">
        <v>69</v>
      </c>
      <c r="Q24" s="66" t="s">
        <v>70</v>
      </c>
    </row>
    <row r="25" spans="1:17" ht="30" x14ac:dyDescent="0.25">
      <c r="B25" s="81" t="s">
        <v>132</v>
      </c>
      <c r="C25">
        <f>'Roof and Ceilling insulation'!G57</f>
        <v>-601999</v>
      </c>
      <c r="D25">
        <f>'Roof and Ceilling insulation'!H57</f>
        <v>-287252.00000000006</v>
      </c>
      <c r="E25">
        <f>'Roof and Ceilling insulation'!I57</f>
        <v>-287253.00000000006</v>
      </c>
      <c r="F25">
        <f>'Roof and Ceilling insulation'!J57</f>
        <v>287254.00000000006</v>
      </c>
      <c r="G25">
        <f>'Roof and Ceilling insulation'!K57</f>
        <v>287255.00000000006</v>
      </c>
      <c r="H25">
        <f>'Roof and Ceilling insulation'!L57</f>
        <v>287256.00000000006</v>
      </c>
      <c r="I25">
        <f>'Roof and Ceilling insulation'!M57</f>
        <v>287257.00000000006</v>
      </c>
      <c r="J25">
        <f>'Roof and Ceilling insulation'!N57</f>
        <v>287258.00000000006</v>
      </c>
      <c r="K25">
        <f>'Roof and Ceilling insulation'!O57</f>
        <v>287259.00000000006</v>
      </c>
      <c r="L25">
        <f>'Roof and Ceilling insulation'!P57</f>
        <v>287260.00000000006</v>
      </c>
      <c r="M25">
        <f>'Roof and Ceilling insulation'!Q57</f>
        <v>207250.00000000006</v>
      </c>
      <c r="N25">
        <f>'Roof and Ceilling insulation'!R57</f>
        <v>207250.00000000006</v>
      </c>
      <c r="O25">
        <f>'Roof and Ceilling insulation'!S57</f>
        <v>207250.00000000006</v>
      </c>
      <c r="P25">
        <f>'Roof and Ceilling insulation'!T57</f>
        <v>207250.00000000006</v>
      </c>
      <c r="Q25">
        <f>'Roof and Ceilling insulation'!U57</f>
        <v>207250.00000000006</v>
      </c>
    </row>
    <row r="26" spans="1:17" x14ac:dyDescent="0.25">
      <c r="B26" s="81" t="s">
        <v>133</v>
      </c>
      <c r="C26">
        <f>'Wall insulation'!G70</f>
        <v>-842500</v>
      </c>
      <c r="D26">
        <f>'Wall insulation'!H70</f>
        <v>-316600</v>
      </c>
      <c r="E26">
        <f>'Wall insulation'!I70</f>
        <v>316600</v>
      </c>
      <c r="F26">
        <f>'Wall insulation'!J70</f>
        <v>316600</v>
      </c>
      <c r="G26">
        <f>'Wall insulation'!K70</f>
        <v>316600</v>
      </c>
      <c r="H26">
        <f>'Wall insulation'!L70</f>
        <v>316600</v>
      </c>
      <c r="I26">
        <f>'Wall insulation'!M70</f>
        <v>316600</v>
      </c>
      <c r="J26">
        <f>'Wall insulation'!N70</f>
        <v>316600</v>
      </c>
      <c r="K26">
        <f>'Wall insulation'!O70</f>
        <v>316600</v>
      </c>
      <c r="L26">
        <f>'Wall insulation'!P70</f>
        <v>316600</v>
      </c>
      <c r="M26">
        <f>'Wall insulation'!Q70</f>
        <v>316600</v>
      </c>
      <c r="N26">
        <f>'Wall insulation'!R70</f>
        <v>316600</v>
      </c>
      <c r="O26">
        <f>'Wall insulation'!S70</f>
        <v>316600</v>
      </c>
      <c r="P26">
        <f>'Wall insulation'!T70</f>
        <v>316600</v>
      </c>
      <c r="Q26">
        <f>'Wall insulation'!U70</f>
        <v>316600</v>
      </c>
    </row>
    <row r="27" spans="1:17" x14ac:dyDescent="0.25">
      <c r="B27" s="9" t="s">
        <v>134</v>
      </c>
      <c r="C27">
        <f>'Efficient Windows (Double Tripl'!G68</f>
        <v>1866340</v>
      </c>
      <c r="D27">
        <f>'Efficient Windows (Double Tripl'!H68</f>
        <v>1866340</v>
      </c>
      <c r="E27">
        <f>'Efficient Windows (Double Tripl'!I68</f>
        <v>1866340</v>
      </c>
      <c r="F27">
        <f>'Efficient Windows (Double Tripl'!J68</f>
        <v>-1866340</v>
      </c>
      <c r="G27">
        <f>'Efficient Windows (Double Tripl'!K68</f>
        <v>1866340</v>
      </c>
      <c r="H27">
        <f>'Efficient Windows (Double Tripl'!L68</f>
        <v>-1866340</v>
      </c>
      <c r="I27">
        <f>'Efficient Windows (Double Tripl'!M68</f>
        <v>-1866340</v>
      </c>
      <c r="J27">
        <f>'Efficient Windows (Double Tripl'!N68</f>
        <v>-1866340</v>
      </c>
      <c r="K27">
        <f>'Efficient Windows (Double Tripl'!O68</f>
        <v>-1866340</v>
      </c>
      <c r="L27">
        <f>'Efficient Windows (Double Tripl'!P68</f>
        <v>-1866340</v>
      </c>
      <c r="M27">
        <f>'Efficient Windows (Double Tripl'!Q68</f>
        <v>-1866340</v>
      </c>
      <c r="N27">
        <f>'Efficient Windows (Double Tripl'!R68</f>
        <v>-1866340</v>
      </c>
      <c r="O27">
        <f>'Efficient Windows (Double Tripl'!S68</f>
        <v>-1866340</v>
      </c>
      <c r="P27">
        <f>'Efficient Windows (Double Tripl'!T68</f>
        <v>-1866340</v>
      </c>
      <c r="Q27">
        <f>'Efficient Windows (Double Tripl'!U68</f>
        <v>-1866340</v>
      </c>
    </row>
    <row r="28" spans="1:17" x14ac:dyDescent="0.25">
      <c r="B28" s="9" t="s">
        <v>135</v>
      </c>
      <c r="C28">
        <f>'Efficient heating systems'!G63</f>
        <v>-227200</v>
      </c>
      <c r="D28">
        <f>'Efficient heating systems'!H63</f>
        <v>-122000</v>
      </c>
      <c r="E28">
        <f>'Efficient heating systems'!I63</f>
        <v>-122000</v>
      </c>
      <c r="F28">
        <f>'Efficient heating systems'!J63</f>
        <v>122000</v>
      </c>
      <c r="G28">
        <f>'Efficient heating systems'!K63</f>
        <v>122000</v>
      </c>
      <c r="H28">
        <f>'Efficient heating systems'!L63</f>
        <v>122000</v>
      </c>
      <c r="I28">
        <f>'Efficient heating systems'!M63</f>
        <v>122000</v>
      </c>
      <c r="J28">
        <f>'Efficient heating systems'!N63</f>
        <v>122000</v>
      </c>
      <c r="K28">
        <f>'Efficient heating systems'!O63</f>
        <v>122000</v>
      </c>
      <c r="L28">
        <f>'Efficient heating systems'!P63</f>
        <v>122000</v>
      </c>
      <c r="M28">
        <f>'Efficient heating systems'!Q63</f>
        <v>122000</v>
      </c>
      <c r="N28">
        <f>'Efficient heating systems'!R63</f>
        <v>122000</v>
      </c>
      <c r="O28">
        <f>'Efficient heating systems'!S63</f>
        <v>122000</v>
      </c>
      <c r="P28">
        <f>'Efficient heating systems'!T63</f>
        <v>122000</v>
      </c>
      <c r="Q28">
        <f>'Efficient heating systems'!U63</f>
        <v>122000</v>
      </c>
    </row>
    <row r="29" spans="1:17" x14ac:dyDescent="0.25">
      <c r="B29" s="17" t="s">
        <v>136</v>
      </c>
      <c r="C29">
        <f>'Air Sealing   Draft Proofing'!G65</f>
        <v>-328800</v>
      </c>
      <c r="D29">
        <f>'Air Sealing   Draft Proofing'!H65</f>
        <v>153000</v>
      </c>
      <c r="E29">
        <f>'Air Sealing   Draft Proofing'!I65</f>
        <v>171200</v>
      </c>
      <c r="F29">
        <f>'Air Sealing   Draft Proofing'!J65</f>
        <v>43200</v>
      </c>
      <c r="G29">
        <f>'Air Sealing   Draft Proofing'!K65</f>
        <v>43200</v>
      </c>
      <c r="H29">
        <f>'Air Sealing   Draft Proofing'!L65</f>
        <v>43200</v>
      </c>
      <c r="I29">
        <f>'Air Sealing   Draft Proofing'!M65</f>
        <v>43200</v>
      </c>
      <c r="J29">
        <f>'Air Sealing   Draft Proofing'!N65</f>
        <v>43200</v>
      </c>
      <c r="K29">
        <f>'Air Sealing   Draft Proofing'!O65</f>
        <v>43200</v>
      </c>
      <c r="L29">
        <f>'Air Sealing   Draft Proofing'!P65</f>
        <v>43200</v>
      </c>
      <c r="M29">
        <f>'Air Sealing   Draft Proofing'!Q65</f>
        <v>43200</v>
      </c>
      <c r="N29">
        <f>'Air Sealing   Draft Proofing'!R65</f>
        <v>33200</v>
      </c>
      <c r="O29">
        <f>'Air Sealing   Draft Proofing'!S65</f>
        <v>43200</v>
      </c>
      <c r="P29">
        <f>'Air Sealing   Draft Proofing'!T65</f>
        <v>43200</v>
      </c>
      <c r="Q29">
        <f>'Air Sealing   Draft Proofing'!U65</f>
        <v>33200</v>
      </c>
    </row>
    <row r="30" spans="1:17" x14ac:dyDescent="0.25">
      <c r="B30" t="s">
        <v>71</v>
      </c>
      <c r="C30">
        <f>SUM(C25:C29)</f>
        <v>-134159</v>
      </c>
      <c r="D30">
        <f t="shared" ref="D30:Q30" si="2">SUM(D25:D29)</f>
        <v>1293488</v>
      </c>
      <c r="E30">
        <f t="shared" si="2"/>
        <v>1944887</v>
      </c>
      <c r="F30">
        <f t="shared" si="2"/>
        <v>-1097286</v>
      </c>
      <c r="G30">
        <f t="shared" si="2"/>
        <v>2635395</v>
      </c>
      <c r="H30">
        <f t="shared" si="2"/>
        <v>-1097284</v>
      </c>
      <c r="I30">
        <f t="shared" si="2"/>
        <v>-1097283</v>
      </c>
      <c r="J30">
        <f t="shared" si="2"/>
        <v>-1097282</v>
      </c>
      <c r="K30">
        <f t="shared" si="2"/>
        <v>-1097281</v>
      </c>
      <c r="L30">
        <f t="shared" si="2"/>
        <v>-1097280</v>
      </c>
      <c r="M30">
        <f t="shared" si="2"/>
        <v>-1177290</v>
      </c>
      <c r="N30">
        <f t="shared" si="2"/>
        <v>-1187290</v>
      </c>
      <c r="O30">
        <f t="shared" si="2"/>
        <v>-1177290</v>
      </c>
      <c r="P30">
        <f t="shared" si="2"/>
        <v>-1177290</v>
      </c>
      <c r="Q30">
        <f t="shared" si="2"/>
        <v>-1187290</v>
      </c>
    </row>
    <row r="31" spans="1:17" x14ac:dyDescent="0.25">
      <c r="B31" t="s">
        <v>75</v>
      </c>
      <c r="C31">
        <f>C9</f>
        <v>7595000</v>
      </c>
    </row>
    <row r="32" spans="1:17" x14ac:dyDescent="0.25">
      <c r="B32" t="s">
        <v>77</v>
      </c>
      <c r="C32" s="19">
        <f>C10</f>
        <v>957000000</v>
      </c>
    </row>
    <row r="33" spans="2:17" x14ac:dyDescent="0.25">
      <c r="B33" t="s">
        <v>80</v>
      </c>
      <c r="C33" s="18">
        <f>-(C30*($C$10/$C$9))</f>
        <v>16904563.92363397</v>
      </c>
      <c r="D33" s="18">
        <f>(D30*($C$10/$C$9))</f>
        <v>162984597.23502305</v>
      </c>
      <c r="E33">
        <f t="shared" ref="E33:Q33" si="3">E30*($C$10/$C$9)</f>
        <v>245063444.23963135</v>
      </c>
      <c r="F33">
        <f t="shared" si="3"/>
        <v>-138262370.24358132</v>
      </c>
      <c r="G33" s="18">
        <f>(G30*($C$10/$C$9))</f>
        <v>332070179.72350234</v>
      </c>
      <c r="H33">
        <f t="shared" si="3"/>
        <v>-138262118.23568138</v>
      </c>
      <c r="I33">
        <f t="shared" si="3"/>
        <v>-138261992.23173141</v>
      </c>
      <c r="J33">
        <f t="shared" si="3"/>
        <v>-138261866.22778144</v>
      </c>
      <c r="K33">
        <f t="shared" si="3"/>
        <v>-138261740.22383147</v>
      </c>
      <c r="L33">
        <f t="shared" si="3"/>
        <v>-138261614.2198815</v>
      </c>
      <c r="M33">
        <f t="shared" si="3"/>
        <v>-148343190.25674787</v>
      </c>
      <c r="N33">
        <f t="shared" si="3"/>
        <v>-149603229.7564187</v>
      </c>
      <c r="O33">
        <f t="shared" si="3"/>
        <v>-148343190.25674787</v>
      </c>
      <c r="P33">
        <f t="shared" si="3"/>
        <v>-148343190.25674787</v>
      </c>
      <c r="Q33">
        <f t="shared" si="3"/>
        <v>-149603229.7564187</v>
      </c>
    </row>
    <row r="34" spans="2:17" x14ac:dyDescent="0.25">
      <c r="B34" t="s">
        <v>81</v>
      </c>
      <c r="C34" s="16">
        <f>IRR(C33:Q33)</f>
        <v>0.13446542322887689</v>
      </c>
    </row>
    <row r="35" spans="2:17" x14ac:dyDescent="0.25">
      <c r="B35" t="s">
        <v>82</v>
      </c>
      <c r="C35" s="13">
        <f>NPV(0.1,C33:Q33)*(-1)</f>
        <v>97006672.71859841</v>
      </c>
    </row>
    <row r="36" spans="2:17" x14ac:dyDescent="0.25">
      <c r="C36" s="13"/>
    </row>
    <row r="37" spans="2:17" x14ac:dyDescent="0.25">
      <c r="C37" s="68"/>
    </row>
    <row r="38" spans="2:17" x14ac:dyDescent="0.25">
      <c r="C38" s="13"/>
    </row>
    <row r="40" spans="2:17" x14ac:dyDescent="0.25">
      <c r="C40" s="28"/>
    </row>
    <row r="41" spans="2:17" x14ac:dyDescent="0.25">
      <c r="C41" s="31"/>
    </row>
    <row r="43" spans="2:17" x14ac:dyDescent="0.25">
      <c r="C43" s="14"/>
    </row>
    <row r="44" spans="2:17" x14ac:dyDescent="0.25">
      <c r="C44" s="16"/>
    </row>
    <row r="45" spans="2:17" x14ac:dyDescent="0.25">
      <c r="C45" s="13">
        <f>NPV(0.1,C43:Q43)</f>
        <v>0</v>
      </c>
    </row>
    <row r="47" spans="2:17" x14ac:dyDescent="0.2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</row>
    <row r="48" spans="2:17" x14ac:dyDescent="0.2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</row>
    <row r="49" spans="3:3" x14ac:dyDescent="0.25">
      <c r="C49" s="16"/>
    </row>
    <row r="50" spans="3:3" x14ac:dyDescent="0.25">
      <c r="C50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EDCC-8C43-4A28-A623-154852922CDC}">
  <dimension ref="A1:W67"/>
  <sheetViews>
    <sheetView topLeftCell="A43" workbookViewId="0">
      <selection activeCell="N57" sqref="N57"/>
    </sheetView>
  </sheetViews>
  <sheetFormatPr defaultRowHeight="15" x14ac:dyDescent="0.25"/>
  <cols>
    <col min="2" max="2" width="23" customWidth="1"/>
    <col min="3" max="3" width="18.28515625" bestFit="1" customWidth="1"/>
    <col min="4" max="4" width="17.7109375" bestFit="1" customWidth="1"/>
    <col min="5" max="5" width="14.28515625" customWidth="1"/>
    <col min="6" max="6" width="15.140625" customWidth="1"/>
    <col min="7" max="7" width="18.85546875" customWidth="1"/>
    <col min="8" max="8" width="15.28515625" customWidth="1"/>
    <col min="9" max="9" width="13.5703125" customWidth="1"/>
    <col min="10" max="10" width="14.85546875" customWidth="1"/>
    <col min="11" max="11" width="19.28515625" customWidth="1"/>
    <col min="12" max="12" width="16.28515625" customWidth="1"/>
    <col min="13" max="13" width="20.7109375" customWidth="1"/>
    <col min="14" max="14" width="12.7109375" customWidth="1"/>
    <col min="15" max="15" width="13.5703125" customWidth="1"/>
    <col min="16" max="16" width="12.42578125" customWidth="1"/>
    <col min="17" max="17" width="12.140625" customWidth="1"/>
    <col min="22" max="22" width="12.7109375" bestFit="1" customWidth="1"/>
  </cols>
  <sheetData>
    <row r="1" spans="1:23" ht="15.75" thickBot="1" x14ac:dyDescent="0.3">
      <c r="A1" t="s">
        <v>73</v>
      </c>
    </row>
    <row r="2" spans="1:23" ht="15.75" thickBot="1" x14ac:dyDescent="0.3">
      <c r="A2" t="s">
        <v>74</v>
      </c>
      <c r="B2" s="64" t="s">
        <v>55</v>
      </c>
      <c r="C2" s="65" t="s">
        <v>56</v>
      </c>
      <c r="D2" s="65" t="s">
        <v>57</v>
      </c>
      <c r="E2" s="65" t="s">
        <v>58</v>
      </c>
      <c r="F2" s="65" t="s">
        <v>59</v>
      </c>
      <c r="G2" s="66" t="s">
        <v>60</v>
      </c>
      <c r="H2" s="65" t="s">
        <v>61</v>
      </c>
      <c r="I2" s="65" t="s">
        <v>62</v>
      </c>
      <c r="J2" s="65" t="s">
        <v>63</v>
      </c>
      <c r="K2" s="66" t="s">
        <v>64</v>
      </c>
      <c r="L2" s="65" t="s">
        <v>65</v>
      </c>
      <c r="M2" s="65" t="s">
        <v>66</v>
      </c>
      <c r="N2" s="65" t="s">
        <v>67</v>
      </c>
      <c r="O2" s="66" t="s">
        <v>68</v>
      </c>
      <c r="P2" s="65" t="s">
        <v>69</v>
      </c>
      <c r="Q2" s="66" t="s">
        <v>70</v>
      </c>
    </row>
    <row r="3" spans="1:23" x14ac:dyDescent="0.25">
      <c r="B3" t="s">
        <v>75</v>
      </c>
      <c r="C3">
        <f>Summary!B11</f>
        <v>7595000</v>
      </c>
      <c r="T3" t="s">
        <v>75</v>
      </c>
      <c r="V3">
        <v>10</v>
      </c>
      <c r="W3" t="s">
        <v>76</v>
      </c>
    </row>
    <row r="4" spans="1:23" x14ac:dyDescent="0.25">
      <c r="B4" t="s">
        <v>77</v>
      </c>
      <c r="C4" s="13">
        <f>V6</f>
        <v>2299000000</v>
      </c>
      <c r="U4" t="s">
        <v>72</v>
      </c>
      <c r="V4">
        <f>10000000</f>
        <v>10000000</v>
      </c>
    </row>
    <row r="5" spans="1:23" x14ac:dyDescent="0.25">
      <c r="B5" s="81" t="s">
        <v>179</v>
      </c>
      <c r="C5" s="13">
        <f>' financing total'!C11</f>
        <v>-312670401.57998687</v>
      </c>
      <c r="D5">
        <f>' financing total'!D11</f>
        <v>169714720.21066493</v>
      </c>
      <c r="E5">
        <f>' financing total'!E11</f>
        <v>87812152.732060567</v>
      </c>
      <c r="F5">
        <f>' financing total'!F11</f>
        <v>-108182791.31007242</v>
      </c>
      <c r="G5">
        <f>' financing total'!G11</f>
        <v>6119591.8367346944</v>
      </c>
      <c r="H5">
        <f>' financing total'!H11</f>
        <v>12419789.335088875</v>
      </c>
      <c r="I5">
        <f>' financing total'!I11</f>
        <v>22752113.232389733</v>
      </c>
      <c r="J5">
        <f>' financing total'!J11</f>
        <v>33638854.509545758</v>
      </c>
      <c r="K5">
        <f>' financing total'!K11</f>
        <v>45442904.542462148</v>
      </c>
      <c r="L5">
        <f>' financing total'!L11</f>
        <v>62379851.481237665</v>
      </c>
      <c r="M5">
        <f>' financing total'!M11</f>
        <v>81192140.408163264</v>
      </c>
      <c r="N5">
        <f>' financing total'!N11</f>
        <v>102506847.62080316</v>
      </c>
      <c r="O5">
        <f>' financing total'!O11</f>
        <v>130856583.17524688</v>
      </c>
      <c r="P5">
        <f>' financing total'!P11</f>
        <v>49960663.470599078</v>
      </c>
      <c r="Q5">
        <f>' financing total'!Q11</f>
        <v>255295039.7460224</v>
      </c>
    </row>
    <row r="6" spans="1:23" x14ac:dyDescent="0.25">
      <c r="B6" s="81"/>
      <c r="E6" s="18"/>
      <c r="F6" s="18"/>
      <c r="U6" t="s">
        <v>27</v>
      </c>
      <c r="V6" s="70">
        <v>2299000000</v>
      </c>
    </row>
    <row r="7" spans="1:23" x14ac:dyDescent="0.25">
      <c r="C7" s="16"/>
    </row>
    <row r="8" spans="1:23" x14ac:dyDescent="0.25">
      <c r="C8" s="13">
        <f>NPV(0.1,C6:Q6)</f>
        <v>0</v>
      </c>
    </row>
    <row r="9" spans="1:23" x14ac:dyDescent="0.25">
      <c r="D9" s="13"/>
      <c r="G9" s="18"/>
      <c r="H9" s="18"/>
      <c r="I9" s="18"/>
    </row>
    <row r="10" spans="1:23" x14ac:dyDescent="0.25">
      <c r="C10" s="28"/>
    </row>
    <row r="11" spans="1:23" x14ac:dyDescent="0.25">
      <c r="C11" s="31">
        <f>V6</f>
        <v>2299000000</v>
      </c>
    </row>
    <row r="12" spans="1:23" x14ac:dyDescent="0.25">
      <c r="B12" s="81" t="s">
        <v>180</v>
      </c>
      <c r="C12" s="14">
        <f>C5</f>
        <v>-312670401.57998687</v>
      </c>
      <c r="D12" s="14">
        <f t="shared" ref="D12:Q12" si="0">(D5)</f>
        <v>169714720.21066493</v>
      </c>
      <c r="E12" s="14">
        <f t="shared" si="0"/>
        <v>87812152.732060567</v>
      </c>
      <c r="F12" s="14">
        <f t="shared" si="0"/>
        <v>-108182791.31007242</v>
      </c>
      <c r="G12" s="14">
        <f t="shared" si="0"/>
        <v>6119591.8367346944</v>
      </c>
      <c r="H12" s="14">
        <f t="shared" si="0"/>
        <v>12419789.335088875</v>
      </c>
      <c r="I12" s="14">
        <f t="shared" si="0"/>
        <v>22752113.232389733</v>
      </c>
      <c r="J12" s="14">
        <f t="shared" si="0"/>
        <v>33638854.509545758</v>
      </c>
      <c r="K12" s="14">
        <f t="shared" si="0"/>
        <v>45442904.542462148</v>
      </c>
      <c r="L12" s="14">
        <f t="shared" si="0"/>
        <v>62379851.481237665</v>
      </c>
      <c r="M12" s="14">
        <f t="shared" si="0"/>
        <v>81192140.408163264</v>
      </c>
      <c r="N12" s="14">
        <f t="shared" si="0"/>
        <v>102506847.62080316</v>
      </c>
      <c r="O12" s="14">
        <f t="shared" si="0"/>
        <v>130856583.17524688</v>
      </c>
      <c r="P12" s="14">
        <f t="shared" si="0"/>
        <v>49960663.470599078</v>
      </c>
      <c r="Q12" s="14">
        <f t="shared" si="0"/>
        <v>255295039.7460224</v>
      </c>
    </row>
    <row r="13" spans="1:23" x14ac:dyDescent="0.25">
      <c r="B13" t="s">
        <v>35</v>
      </c>
      <c r="C13" s="8">
        <f>IRR(C12:Q12)</f>
        <v>0.15352651748078761</v>
      </c>
    </row>
    <row r="14" spans="1:23" x14ac:dyDescent="0.25">
      <c r="B14" t="s">
        <v>36</v>
      </c>
      <c r="C14" s="83">
        <f>' financing total'!C13</f>
        <v>102895034.76725063</v>
      </c>
    </row>
    <row r="15" spans="1:23" x14ac:dyDescent="0.25">
      <c r="C15" s="13"/>
    </row>
    <row r="16" spans="1:23" ht="30" x14ac:dyDescent="0.25">
      <c r="B16" s="81" t="s">
        <v>84</v>
      </c>
      <c r="C16" s="14">
        <f>C12</f>
        <v>-312670401.57998687</v>
      </c>
      <c r="D16" s="73">
        <f>D12*0.9</f>
        <v>152743248.18959844</v>
      </c>
      <c r="E16" s="73">
        <f>E12*0.9</f>
        <v>79030937.458854511</v>
      </c>
      <c r="F16" s="73">
        <f t="shared" ref="F16:Q16" si="1">F12*0.9</f>
        <v>-97364512.179065183</v>
      </c>
      <c r="G16" s="73">
        <f t="shared" si="1"/>
        <v>5507632.6530612251</v>
      </c>
      <c r="H16" s="73">
        <f t="shared" si="1"/>
        <v>11177810.401579987</v>
      </c>
      <c r="I16" s="73">
        <f t="shared" si="1"/>
        <v>20476901.909150761</v>
      </c>
      <c r="J16" s="73">
        <f t="shared" si="1"/>
        <v>30274969.058591183</v>
      </c>
      <c r="K16" s="73">
        <f t="shared" si="1"/>
        <v>40898614.088215932</v>
      </c>
      <c r="L16" s="73">
        <f t="shared" si="1"/>
        <v>56141866.333113901</v>
      </c>
      <c r="M16" s="73">
        <f t="shared" si="1"/>
        <v>73072926.367346942</v>
      </c>
      <c r="N16" s="73">
        <f t="shared" si="1"/>
        <v>92256162.858722851</v>
      </c>
      <c r="O16" s="73">
        <f t="shared" si="1"/>
        <v>117770924.85772219</v>
      </c>
      <c r="P16" s="73">
        <f t="shared" si="1"/>
        <v>44964597.123539172</v>
      </c>
      <c r="Q16" s="73">
        <f t="shared" si="1"/>
        <v>229765535.77142018</v>
      </c>
    </row>
    <row r="17" spans="1:17" ht="30" x14ac:dyDescent="0.25">
      <c r="B17" s="81" t="s">
        <v>85</v>
      </c>
      <c r="C17" s="14">
        <f>NPV(0.1,C16:Q16)</f>
        <v>64180949.328708619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</row>
    <row r="18" spans="1:17" ht="30" x14ac:dyDescent="0.25">
      <c r="B18" s="81" t="s">
        <v>86</v>
      </c>
      <c r="C18" s="8">
        <f>IRR(C16:Q16)</f>
        <v>0.13370171937141206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1:17" x14ac:dyDescent="0.25">
      <c r="B19" s="81"/>
      <c r="C19" s="8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</row>
    <row r="20" spans="1:17" x14ac:dyDescent="0.25">
      <c r="B20" s="81"/>
      <c r="C20" s="8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</row>
    <row r="21" spans="1:17" ht="30" x14ac:dyDescent="0.25">
      <c r="B21" s="81" t="s">
        <v>87</v>
      </c>
      <c r="C21" s="84">
        <f>C12</f>
        <v>-312670401.57998687</v>
      </c>
      <c r="D21" s="84"/>
      <c r="E21" s="84"/>
      <c r="F21" s="84">
        <f>-(F12)</f>
        <v>108182791.31007242</v>
      </c>
      <c r="G21" s="84">
        <f t="shared" ref="G21:Q21" si="2">G12</f>
        <v>6119591.8367346944</v>
      </c>
      <c r="H21" s="84">
        <f t="shared" si="2"/>
        <v>12419789.335088875</v>
      </c>
      <c r="I21" s="84">
        <f t="shared" si="2"/>
        <v>22752113.232389733</v>
      </c>
      <c r="J21" s="84">
        <f t="shared" si="2"/>
        <v>33638854.509545758</v>
      </c>
      <c r="K21" s="84">
        <f t="shared" si="2"/>
        <v>45442904.542462148</v>
      </c>
      <c r="L21" s="84">
        <f t="shared" si="2"/>
        <v>62379851.481237665</v>
      </c>
      <c r="M21" s="84">
        <f t="shared" si="2"/>
        <v>81192140.408163264</v>
      </c>
      <c r="N21" s="84">
        <f t="shared" si="2"/>
        <v>102506847.62080316</v>
      </c>
      <c r="O21" s="84">
        <f t="shared" si="2"/>
        <v>130856583.17524688</v>
      </c>
      <c r="P21" s="84">
        <f t="shared" si="2"/>
        <v>49960663.470599078</v>
      </c>
      <c r="Q21" s="84">
        <f t="shared" si="2"/>
        <v>255295039.7460224</v>
      </c>
    </row>
    <row r="22" spans="1:17" x14ac:dyDescent="0.25">
      <c r="B22" s="81"/>
      <c r="C22" s="8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</row>
    <row r="23" spans="1:17" ht="30" x14ac:dyDescent="0.25">
      <c r="B23" s="81" t="s">
        <v>88</v>
      </c>
      <c r="C23" s="85">
        <f>NPV(0.1,C21:Q21)</f>
        <v>113465195.31213415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</row>
    <row r="24" spans="1:17" x14ac:dyDescent="0.25">
      <c r="B24" s="81"/>
      <c r="C24" s="8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</row>
    <row r="25" spans="1:17" ht="30" x14ac:dyDescent="0.25">
      <c r="B25" s="81" t="s">
        <v>89</v>
      </c>
      <c r="C25" s="8">
        <f>IRR(C21:Q21)</f>
        <v>0.15789730131617441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</row>
    <row r="26" spans="1:17" x14ac:dyDescent="0.25">
      <c r="B26" s="81"/>
      <c r="C26" s="8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</row>
    <row r="27" spans="1:17" ht="30" x14ac:dyDescent="0.25">
      <c r="B27" s="81" t="s">
        <v>90</v>
      </c>
      <c r="C27" s="84">
        <f>C12*1.1</f>
        <v>-343937441.73798561</v>
      </c>
      <c r="D27" s="84">
        <f>D12</f>
        <v>169714720.21066493</v>
      </c>
      <c r="E27" s="84">
        <f>E12</f>
        <v>87812152.732060567</v>
      </c>
      <c r="F27" s="84">
        <f t="shared" ref="F27:Q27" si="3">F12*1.1</f>
        <v>-119001070.44107968</v>
      </c>
      <c r="G27" s="84">
        <f t="shared" si="3"/>
        <v>6731551.0204081647</v>
      </c>
      <c r="H27" s="84">
        <f t="shared" si="3"/>
        <v>13661768.268597763</v>
      </c>
      <c r="I27" s="84">
        <f t="shared" si="3"/>
        <v>25027324.555628709</v>
      </c>
      <c r="J27" s="84">
        <f t="shared" si="3"/>
        <v>37002739.960500337</v>
      </c>
      <c r="K27" s="84">
        <f t="shared" si="3"/>
        <v>49987194.996708363</v>
      </c>
      <c r="L27" s="84">
        <f t="shared" si="3"/>
        <v>68617836.629361436</v>
      </c>
      <c r="M27" s="84">
        <f t="shared" si="3"/>
        <v>89311354.448979601</v>
      </c>
      <c r="N27" s="84">
        <f t="shared" si="3"/>
        <v>112757532.38288349</v>
      </c>
      <c r="O27" s="84">
        <f t="shared" si="3"/>
        <v>143942241.49277157</v>
      </c>
      <c r="P27" s="84">
        <f t="shared" si="3"/>
        <v>54956729.817658991</v>
      </c>
      <c r="Q27" s="84">
        <f t="shared" si="3"/>
        <v>280824543.72062469</v>
      </c>
    </row>
    <row r="28" spans="1:17" x14ac:dyDescent="0.25">
      <c r="B28" s="81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</row>
    <row r="29" spans="1:17" x14ac:dyDescent="0.25">
      <c r="B29" s="81" t="s">
        <v>92</v>
      </c>
      <c r="C29" s="8">
        <v>0.2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</row>
    <row r="30" spans="1:17" x14ac:dyDescent="0.25">
      <c r="B30" s="81" t="s">
        <v>91</v>
      </c>
      <c r="C30" s="83">
        <f>NPV(0.1,C27:Q27)</f>
        <v>92561071.304547295</v>
      </c>
    </row>
    <row r="31" spans="1:17" ht="15.75" thickBot="1" x14ac:dyDescent="0.3">
      <c r="A31" t="s">
        <v>78</v>
      </c>
    </row>
    <row r="32" spans="1:17" ht="15.75" thickBot="1" x14ac:dyDescent="0.3">
      <c r="A32" t="s">
        <v>74</v>
      </c>
      <c r="B32" s="64" t="s">
        <v>55</v>
      </c>
      <c r="C32" s="65" t="s">
        <v>56</v>
      </c>
      <c r="D32" s="65" t="s">
        <v>57</v>
      </c>
      <c r="E32" s="65" t="s">
        <v>58</v>
      </c>
      <c r="F32" s="65" t="s">
        <v>59</v>
      </c>
      <c r="G32" s="66" t="s">
        <v>60</v>
      </c>
      <c r="H32" s="65" t="s">
        <v>61</v>
      </c>
      <c r="I32" s="65" t="s">
        <v>62</v>
      </c>
      <c r="J32" s="65" t="s">
        <v>63</v>
      </c>
      <c r="K32" s="66" t="s">
        <v>64</v>
      </c>
      <c r="L32" s="65" t="s">
        <v>65</v>
      </c>
      <c r="M32" s="65" t="s">
        <v>66</v>
      </c>
      <c r="N32" s="65" t="s">
        <v>67</v>
      </c>
      <c r="O32" s="66" t="s">
        <v>68</v>
      </c>
      <c r="P32" s="65" t="s">
        <v>69</v>
      </c>
      <c r="Q32" s="66" t="s">
        <v>70</v>
      </c>
    </row>
    <row r="33" spans="2:17" x14ac:dyDescent="0.25">
      <c r="B33" t="s">
        <v>75</v>
      </c>
      <c r="C33">
        <f>C3</f>
        <v>7595000</v>
      </c>
    </row>
    <row r="34" spans="2:17" x14ac:dyDescent="0.25">
      <c r="B34" t="s">
        <v>77</v>
      </c>
      <c r="C34" s="19">
        <f>C4</f>
        <v>2299000000</v>
      </c>
    </row>
    <row r="36" spans="2:17" x14ac:dyDescent="0.25">
      <c r="B36" s="81" t="s">
        <v>181</v>
      </c>
      <c r="C36">
        <f>' financing total'!C33</f>
        <v>16904563.92363397</v>
      </c>
      <c r="D36">
        <f>' financing total'!D33</f>
        <v>162984597.23502305</v>
      </c>
      <c r="E36">
        <f>' financing total'!E33</f>
        <v>245063444.23963135</v>
      </c>
      <c r="F36">
        <f>' financing total'!F33</f>
        <v>-138262370.24358132</v>
      </c>
      <c r="G36">
        <f>' financing total'!G33</f>
        <v>332070179.72350234</v>
      </c>
      <c r="H36">
        <f>' financing total'!H33</f>
        <v>-138262118.23568138</v>
      </c>
      <c r="I36">
        <f>' financing total'!I33</f>
        <v>-138261992.23173141</v>
      </c>
      <c r="J36">
        <f>' financing total'!J33</f>
        <v>-138261866.22778144</v>
      </c>
      <c r="K36">
        <f>' financing total'!K33</f>
        <v>-138261740.22383147</v>
      </c>
      <c r="L36">
        <f>' financing total'!L33</f>
        <v>-138261614.2198815</v>
      </c>
      <c r="M36">
        <f>' financing total'!M33</f>
        <v>-148343190.25674787</v>
      </c>
      <c r="N36">
        <f>' financing total'!N33</f>
        <v>-149603229.7564187</v>
      </c>
      <c r="O36">
        <f>' financing total'!O33</f>
        <v>-148343190.25674787</v>
      </c>
      <c r="P36">
        <f>' financing total'!P33</f>
        <v>-148343190.25674787</v>
      </c>
      <c r="Q36">
        <f>' financing total'!Q33</f>
        <v>-149603229.7564187</v>
      </c>
    </row>
    <row r="37" spans="2:17" x14ac:dyDescent="0.25">
      <c r="B37" s="81"/>
    </row>
    <row r="38" spans="2:17" x14ac:dyDescent="0.25">
      <c r="C38" s="16"/>
    </row>
    <row r="39" spans="2:17" x14ac:dyDescent="0.25">
      <c r="C39" s="13">
        <f>NPV(0.1,C35:Q35)</f>
        <v>0</v>
      </c>
    </row>
    <row r="40" spans="2:17" x14ac:dyDescent="0.25">
      <c r="C40" s="13"/>
    </row>
    <row r="41" spans="2:17" x14ac:dyDescent="0.25">
      <c r="C41" s="68"/>
    </row>
    <row r="42" spans="2:17" x14ac:dyDescent="0.25">
      <c r="B42" t="s">
        <v>81</v>
      </c>
      <c r="C42" s="8">
        <f>' financing total'!C34</f>
        <v>0.13446542322887689</v>
      </c>
    </row>
    <row r="43" spans="2:17" x14ac:dyDescent="0.25">
      <c r="B43" t="s">
        <v>39</v>
      </c>
      <c r="C43" s="100">
        <f>' financing total'!C35</f>
        <v>97006672.71859841</v>
      </c>
    </row>
    <row r="44" spans="2:17" x14ac:dyDescent="0.25">
      <c r="C44" s="28"/>
    </row>
    <row r="45" spans="2:17" x14ac:dyDescent="0.25">
      <c r="C45" s="31"/>
    </row>
    <row r="46" spans="2:17" ht="30" x14ac:dyDescent="0.25">
      <c r="B46" s="81" t="s">
        <v>84</v>
      </c>
      <c r="C46" s="14">
        <f>C36*0.9</f>
        <v>15214107.531270573</v>
      </c>
      <c r="D46" s="14">
        <f>D36*0.9</f>
        <v>146686137.51152074</v>
      </c>
      <c r="E46" s="14">
        <f t="shared" ref="E46:Q46" si="4">E36*0.9</f>
        <v>220557099.81566823</v>
      </c>
      <c r="F46" s="14">
        <f t="shared" si="4"/>
        <v>-124436133.2192232</v>
      </c>
      <c r="G46" s="14">
        <f t="shared" si="4"/>
        <v>298863161.7511521</v>
      </c>
      <c r="H46" s="14">
        <f t="shared" si="4"/>
        <v>-124435906.41211325</v>
      </c>
      <c r="I46" s="14">
        <f t="shared" si="4"/>
        <v>-124435793.00855827</v>
      </c>
      <c r="J46" s="14">
        <f t="shared" si="4"/>
        <v>-124435679.6050033</v>
      </c>
      <c r="K46" s="14">
        <f t="shared" si="4"/>
        <v>-124435566.20144834</v>
      </c>
      <c r="L46" s="14">
        <f t="shared" si="4"/>
        <v>-124435452.79789336</v>
      </c>
      <c r="M46" s="14">
        <f t="shared" si="4"/>
        <v>-133508871.23107308</v>
      </c>
      <c r="N46" s="14">
        <f t="shared" si="4"/>
        <v>-134642906.78077683</v>
      </c>
      <c r="O46" s="14">
        <f t="shared" si="4"/>
        <v>-133508871.23107308</v>
      </c>
      <c r="P46" s="14">
        <f t="shared" si="4"/>
        <v>-133508871.23107308</v>
      </c>
      <c r="Q46" s="14">
        <f t="shared" si="4"/>
        <v>-134642906.78077683</v>
      </c>
    </row>
    <row r="47" spans="2:17" ht="30" x14ac:dyDescent="0.25">
      <c r="B47" s="81" t="s">
        <v>85</v>
      </c>
      <c r="C47" s="14">
        <f>-(NPV(0.1,C46:Q46))</f>
        <v>87306005.446738586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</row>
    <row r="48" spans="2:17" ht="30" x14ac:dyDescent="0.25">
      <c r="B48" s="81" t="s">
        <v>86</v>
      </c>
      <c r="C48" s="8">
        <f>IRR(C46:Q46)</f>
        <v>0.13446542322887711</v>
      </c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</row>
    <row r="49" spans="2:17" x14ac:dyDescent="0.25">
      <c r="B49" s="81"/>
      <c r="C49" s="8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</row>
    <row r="50" spans="2:17" x14ac:dyDescent="0.25">
      <c r="B50" s="81"/>
      <c r="C50" s="8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</row>
    <row r="51" spans="2:17" ht="30" x14ac:dyDescent="0.25">
      <c r="B51" s="81" t="s">
        <v>87</v>
      </c>
      <c r="C51" s="84">
        <f>C36</f>
        <v>16904563.92363397</v>
      </c>
      <c r="D51" s="84"/>
      <c r="E51" s="84"/>
      <c r="F51" s="84">
        <f>F37</f>
        <v>0</v>
      </c>
      <c r="G51" s="84">
        <f>G37</f>
        <v>0</v>
      </c>
      <c r="H51" s="84">
        <f t="shared" ref="H51:Q51" si="5">H37</f>
        <v>0</v>
      </c>
      <c r="I51" s="84">
        <f t="shared" si="5"/>
        <v>0</v>
      </c>
      <c r="J51" s="84">
        <f t="shared" si="5"/>
        <v>0</v>
      </c>
      <c r="K51" s="84">
        <f t="shared" si="5"/>
        <v>0</v>
      </c>
      <c r="L51" s="84">
        <f t="shared" si="5"/>
        <v>0</v>
      </c>
      <c r="M51" s="84">
        <f t="shared" si="5"/>
        <v>0</v>
      </c>
      <c r="N51" s="84">
        <f t="shared" si="5"/>
        <v>0</v>
      </c>
      <c r="O51" s="84">
        <f t="shared" si="5"/>
        <v>0</v>
      </c>
      <c r="P51" s="84">
        <f t="shared" si="5"/>
        <v>0</v>
      </c>
      <c r="Q51" s="84">
        <f t="shared" si="5"/>
        <v>0</v>
      </c>
    </row>
    <row r="52" spans="2:17" x14ac:dyDescent="0.25">
      <c r="B52" s="81"/>
      <c r="C52" s="8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</row>
    <row r="53" spans="2:17" ht="30" x14ac:dyDescent="0.25">
      <c r="B53" s="81" t="s">
        <v>88</v>
      </c>
      <c r="C53" s="85">
        <f>NPV(0.1,C51:Q51)</f>
        <v>15367785.385121791</v>
      </c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</row>
    <row r="54" spans="2:17" x14ac:dyDescent="0.25">
      <c r="B54" s="81"/>
      <c r="C54" s="85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</row>
    <row r="55" spans="2:17" ht="30" x14ac:dyDescent="0.25">
      <c r="B55" s="81" t="s">
        <v>89</v>
      </c>
      <c r="C55" s="8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</row>
    <row r="56" spans="2:17" x14ac:dyDescent="0.25">
      <c r="B56" s="81"/>
      <c r="C56" s="8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</row>
    <row r="57" spans="2:17" ht="30" x14ac:dyDescent="0.25">
      <c r="B57" s="81" t="s">
        <v>90</v>
      </c>
      <c r="C57" s="84">
        <f>C36*1.1</f>
        <v>18595020.31599737</v>
      </c>
      <c r="D57" s="84">
        <f>D37</f>
        <v>0</v>
      </c>
      <c r="E57" s="84">
        <f t="shared" ref="E57:I57" si="6">E37</f>
        <v>0</v>
      </c>
      <c r="F57" s="84">
        <f t="shared" si="6"/>
        <v>0</v>
      </c>
      <c r="G57" s="84">
        <f t="shared" si="6"/>
        <v>0</v>
      </c>
      <c r="H57" s="84">
        <f t="shared" si="6"/>
        <v>0</v>
      </c>
      <c r="I57" s="84">
        <f t="shared" si="6"/>
        <v>0</v>
      </c>
      <c r="J57" s="98" t="s">
        <v>240</v>
      </c>
      <c r="K57" s="106" t="s">
        <v>241</v>
      </c>
      <c r="L57" s="106" t="s">
        <v>242</v>
      </c>
      <c r="M57" s="84">
        <f>P37</f>
        <v>0</v>
      </c>
      <c r="N57" s="84">
        <f>Q37</f>
        <v>0</v>
      </c>
    </row>
    <row r="58" spans="2:17" x14ac:dyDescent="0.25">
      <c r="B58" s="81"/>
      <c r="C58" s="84"/>
      <c r="D58" s="84"/>
      <c r="E58" s="84"/>
      <c r="F58" s="84"/>
      <c r="G58" s="84"/>
      <c r="H58" s="84"/>
      <c r="I58" s="84"/>
      <c r="J58" s="99" t="s">
        <v>94</v>
      </c>
      <c r="K58" s="105" t="s">
        <v>232</v>
      </c>
      <c r="L58" s="105" t="s">
        <v>233</v>
      </c>
      <c r="M58" s="84"/>
      <c r="N58" s="84"/>
    </row>
    <row r="59" spans="2:17" ht="30" x14ac:dyDescent="0.25">
      <c r="B59" s="81" t="s">
        <v>92</v>
      </c>
      <c r="C59" s="8">
        <v>0.2</v>
      </c>
      <c r="D59" s="84"/>
      <c r="E59" s="84"/>
      <c r="F59" s="84"/>
      <c r="G59" s="84"/>
      <c r="H59" s="84"/>
      <c r="I59" s="84"/>
      <c r="J59" s="99" t="s">
        <v>229</v>
      </c>
      <c r="K59" s="105" t="s">
        <v>234</v>
      </c>
      <c r="L59" s="105" t="s">
        <v>235</v>
      </c>
      <c r="M59" s="84"/>
      <c r="N59" s="84"/>
    </row>
    <row r="60" spans="2:17" ht="30" x14ac:dyDescent="0.25">
      <c r="B60" s="81" t="s">
        <v>91</v>
      </c>
      <c r="C60" s="83">
        <f>NPV(0.1,C57:N57)</f>
        <v>16904563.92363397</v>
      </c>
      <c r="J60" s="99" t="s">
        <v>230</v>
      </c>
      <c r="K60" s="105" t="s">
        <v>236</v>
      </c>
      <c r="L60" s="105" t="s">
        <v>237</v>
      </c>
    </row>
    <row r="61" spans="2:17" ht="30" x14ac:dyDescent="0.25">
      <c r="J61" s="99" t="s">
        <v>231</v>
      </c>
      <c r="K61" s="105" t="s">
        <v>238</v>
      </c>
      <c r="L61" s="105" t="s">
        <v>239</v>
      </c>
    </row>
    <row r="63" spans="2:17" x14ac:dyDescent="0.25">
      <c r="C63" s="86" t="s">
        <v>93</v>
      </c>
      <c r="D63" s="87" t="s">
        <v>38</v>
      </c>
      <c r="E63" s="87" t="s">
        <v>35</v>
      </c>
      <c r="F63" s="87" t="s">
        <v>36</v>
      </c>
      <c r="G63" s="88" t="s">
        <v>39</v>
      </c>
    </row>
    <row r="64" spans="2:17" x14ac:dyDescent="0.25">
      <c r="C64" s="89" t="s">
        <v>94</v>
      </c>
      <c r="D64" s="90">
        <f>C42</f>
        <v>0.13446542322887689</v>
      </c>
      <c r="E64" s="90">
        <f>C13</f>
        <v>0.15352651748078761</v>
      </c>
      <c r="F64" s="91">
        <f>C14</f>
        <v>102895034.76725063</v>
      </c>
      <c r="G64" s="92">
        <f>C43</f>
        <v>97006672.71859841</v>
      </c>
    </row>
    <row r="65" spans="3:7" x14ac:dyDescent="0.25">
      <c r="C65" s="93" t="s">
        <v>95</v>
      </c>
      <c r="D65" s="94">
        <f>C18</f>
        <v>0.13370171937141206</v>
      </c>
      <c r="E65" s="94">
        <f>C18</f>
        <v>0.13370171937141206</v>
      </c>
      <c r="F65" s="95">
        <f>C17</f>
        <v>64180949.328708619</v>
      </c>
      <c r="G65" s="96">
        <f>C47</f>
        <v>87306005.446738586</v>
      </c>
    </row>
    <row r="66" spans="3:7" x14ac:dyDescent="0.25">
      <c r="C66" s="89" t="s">
        <v>96</v>
      </c>
      <c r="D66" s="90">
        <f>C59</f>
        <v>0.2</v>
      </c>
      <c r="E66" s="90">
        <f>C25</f>
        <v>0.15789730131617441</v>
      </c>
      <c r="F66" s="91">
        <f>C30</f>
        <v>92561071.304547295</v>
      </c>
      <c r="G66" s="92">
        <f>C53</f>
        <v>15367785.385121791</v>
      </c>
    </row>
    <row r="67" spans="3:7" x14ac:dyDescent="0.25">
      <c r="C67" s="93" t="s">
        <v>97</v>
      </c>
      <c r="D67" s="94">
        <v>0.21</v>
      </c>
      <c r="E67" s="94">
        <f>C29</f>
        <v>0.2</v>
      </c>
      <c r="F67" s="95">
        <f>C30</f>
        <v>92561071.304547295</v>
      </c>
      <c r="G67" s="96">
        <f>C60</f>
        <v>16904563.92363397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28FE-7C6C-48CE-BA87-8E6369B2457F}">
  <dimension ref="A1"/>
  <sheetViews>
    <sheetView workbookViewId="0">
      <selection activeCell="D13" sqref="D13"/>
    </sheetView>
  </sheetViews>
  <sheetFormatPr defaultColWidth="12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prices and other data</vt:lpstr>
      <vt:lpstr>Roof and Ceilling insulation</vt:lpstr>
      <vt:lpstr>Wall insulation</vt:lpstr>
      <vt:lpstr>Efficient Windows (Double Tripl</vt:lpstr>
      <vt:lpstr>Efficient heating systems</vt:lpstr>
      <vt:lpstr>Air Sealing   Draft Proofing</vt:lpstr>
      <vt:lpstr> financing total</vt:lpstr>
      <vt:lpstr>Sensitivity analysis</vt:lpstr>
      <vt:lpstr>Efficient 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Siddika Bhuiyanmishu</dc:creator>
  <cp:lastModifiedBy>Siddika Bhuiyanmishu</cp:lastModifiedBy>
  <dcterms:created xsi:type="dcterms:W3CDTF">2023-11-02T13:50:06Z</dcterms:created>
  <dcterms:modified xsi:type="dcterms:W3CDTF">2026-05-28T09:53:36Z</dcterms:modified>
</cp:coreProperties>
</file>